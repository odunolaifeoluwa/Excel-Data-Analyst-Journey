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_Data_Analyst_Journey\Lesson-02\"/>
    </mc:Choice>
  </mc:AlternateContent>
  <xr:revisionPtr revIDLastSave="0" documentId="13_ncr:1_{CEF02EAE-F678-461B-9D1F-7DEE1482B062}" xr6:coauthVersionLast="47" xr6:coauthVersionMax="47" xr10:uidLastSave="{00000000-0000-0000-0000-000000000000}"/>
  <bookViews>
    <workbookView minimized="1" xWindow="3210" yWindow="1080" windowWidth="15375" windowHeight="7875" activeTab="1" xr2:uid="{D878CB2A-0C84-4ED9-AF96-21610F407CA2}"/>
  </bookViews>
  <sheets>
    <sheet name="RawData" sheetId="1" r:id="rId1"/>
    <sheet name="Excel_Table" sheetId="2" r:id="rId2"/>
    <sheet name="Sorted_Table" sheetId="3" r:id="rId3"/>
    <sheet name="Filtered_Table" sheetId="4" r:id="rId4"/>
    <sheet name="Transformed_T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5" l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G3" i="4"/>
  <c r="G4" i="4"/>
  <c r="G103" i="4" s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84" i="3"/>
  <c r="G89" i="3"/>
  <c r="G67" i="3"/>
  <c r="G69" i="3"/>
  <c r="G97" i="3"/>
  <c r="G52" i="3"/>
  <c r="G17" i="3"/>
  <c r="G11" i="3"/>
  <c r="G32" i="3"/>
  <c r="G70" i="3"/>
  <c r="G36" i="3"/>
  <c r="G40" i="3"/>
  <c r="G92" i="3"/>
  <c r="G7" i="3"/>
  <c r="G61" i="3"/>
  <c r="G35" i="3"/>
  <c r="G28" i="3"/>
  <c r="G10" i="3"/>
  <c r="G90" i="3"/>
  <c r="G16" i="3"/>
  <c r="G65" i="3"/>
  <c r="G41" i="3"/>
  <c r="G21" i="3"/>
  <c r="G31" i="3"/>
  <c r="G51" i="3"/>
  <c r="G64" i="3"/>
  <c r="G73" i="3"/>
  <c r="G79" i="3"/>
  <c r="G25" i="3"/>
  <c r="G54" i="3"/>
  <c r="G26" i="3"/>
  <c r="G14" i="3"/>
  <c r="G50" i="3"/>
  <c r="G86" i="3"/>
  <c r="G4" i="3"/>
  <c r="G38" i="3"/>
  <c r="G75" i="3"/>
  <c r="G101" i="3"/>
  <c r="G24" i="3"/>
  <c r="G23" i="3"/>
  <c r="G27" i="3"/>
  <c r="G12" i="3"/>
  <c r="G46" i="3"/>
  <c r="G9" i="3"/>
  <c r="G60" i="3"/>
  <c r="G71" i="3"/>
  <c r="G5" i="3"/>
  <c r="G66" i="3"/>
  <c r="G53" i="3"/>
  <c r="G48" i="3"/>
  <c r="G15" i="3"/>
  <c r="G22" i="3"/>
  <c r="G100" i="3"/>
  <c r="G20" i="3"/>
  <c r="G102" i="3"/>
  <c r="G82" i="3"/>
  <c r="G58" i="3"/>
  <c r="G45" i="3"/>
  <c r="G29" i="3"/>
  <c r="G6" i="3"/>
  <c r="G13" i="3"/>
  <c r="G76" i="3"/>
  <c r="G68" i="3"/>
  <c r="G57" i="3"/>
  <c r="G74" i="3"/>
  <c r="G30" i="3"/>
  <c r="G3" i="3"/>
  <c r="G80" i="3"/>
  <c r="G63" i="3"/>
  <c r="G44" i="3"/>
  <c r="G77" i="3"/>
  <c r="G56" i="3"/>
  <c r="G62" i="3"/>
  <c r="G83" i="3"/>
  <c r="G18" i="3"/>
  <c r="G94" i="3"/>
  <c r="G8" i="3"/>
  <c r="G99" i="3"/>
  <c r="G59" i="3"/>
  <c r="G96" i="3"/>
  <c r="G93" i="3"/>
  <c r="G47" i="3"/>
  <c r="G34" i="3"/>
  <c r="G42" i="3"/>
  <c r="G39" i="3"/>
  <c r="G95" i="3"/>
  <c r="G81" i="3"/>
  <c r="G91" i="3"/>
  <c r="G78" i="3"/>
  <c r="G55" i="3"/>
  <c r="G37" i="3"/>
  <c r="G87" i="3"/>
  <c r="G85" i="3"/>
  <c r="G19" i="3"/>
  <c r="G88" i="3"/>
  <c r="G72" i="3"/>
  <c r="G43" i="3"/>
  <c r="G33" i="3"/>
  <c r="G49" i="3"/>
  <c r="G98" i="3"/>
</calcChain>
</file>

<file path=xl/sharedStrings.xml><?xml version="1.0" encoding="utf-8"?>
<sst xmlns="http://schemas.openxmlformats.org/spreadsheetml/2006/main" count="1046" uniqueCount="60">
  <si>
    <t>Date</t>
  </si>
  <si>
    <t>Product</t>
  </si>
  <si>
    <t>Category</t>
  </si>
  <si>
    <t>Quantity</t>
  </si>
  <si>
    <t>Unit Price</t>
  </si>
  <si>
    <t>Ethernet Switch</t>
  </si>
  <si>
    <t>Networking</t>
  </si>
  <si>
    <t>Keyboard</t>
  </si>
  <si>
    <t>Accessories</t>
  </si>
  <si>
    <t>Modem</t>
  </si>
  <si>
    <t>Laptop</t>
  </si>
  <si>
    <t>Electronics</t>
  </si>
  <si>
    <t>Cloud Storage Plan</t>
  </si>
  <si>
    <t>Software</t>
  </si>
  <si>
    <t>Design Software</t>
  </si>
  <si>
    <t>Water Dispenser</t>
  </si>
  <si>
    <t>Appliances</t>
  </si>
  <si>
    <t>Desk</t>
  </si>
  <si>
    <t>Furniture</t>
  </si>
  <si>
    <t>Office Chair</t>
  </si>
  <si>
    <t>Bookshelf</t>
  </si>
  <si>
    <t>Tablet</t>
  </si>
  <si>
    <t>Notebook</t>
  </si>
  <si>
    <t>Stationery</t>
  </si>
  <si>
    <t>Office Suite License</t>
  </si>
  <si>
    <t>Wi-Fi Extender</t>
  </si>
  <si>
    <t>Monitor</t>
  </si>
  <si>
    <t>Filing Cabinet</t>
  </si>
  <si>
    <t>USB Cable</t>
  </si>
  <si>
    <t>Cubicle Partition</t>
  </si>
  <si>
    <t>Microwave</t>
  </si>
  <si>
    <t>Coffee Maker</t>
  </si>
  <si>
    <t>Headset</t>
  </si>
  <si>
    <t>Webcam</t>
  </si>
  <si>
    <t>Firewall Appliance</t>
  </si>
  <si>
    <t>OS License</t>
  </si>
  <si>
    <t>Antivirus License</t>
  </si>
  <si>
    <t>Whiteboard</t>
  </si>
  <si>
    <t>Network Cable</t>
  </si>
  <si>
    <t>Refrigerator</t>
  </si>
  <si>
    <t>Printer</t>
  </si>
  <si>
    <t>Air Conditioner</t>
  </si>
  <si>
    <t>Sticky Notes</t>
  </si>
  <si>
    <t>Pen Set</t>
  </si>
  <si>
    <t>Stapler</t>
  </si>
  <si>
    <t>Router</t>
  </si>
  <si>
    <t>Mouse</t>
  </si>
  <si>
    <t>Total</t>
  </si>
  <si>
    <t>Complete these tasks:</t>
  </si>
  <si>
    <t>2. Rename the table to Sales.</t>
  </si>
  <si>
    <t>3. Add a Revenue column.</t>
  </si>
  <si>
    <t>4. Calculate Quantity × Unit Price.</t>
  </si>
  <si>
    <t>5. Sort by Revenue (Largest to Smallest).</t>
  </si>
  <si>
    <t>7. Turn on the Total Row.</t>
  </si>
  <si>
    <t>.</t>
  </si>
  <si>
    <t>1. Convert the sales data into an Excel Table.</t>
  </si>
  <si>
    <t>Revenue</t>
  </si>
  <si>
    <t>8. Display the Sum of the Accessories column.</t>
  </si>
  <si>
    <t>6. Filter to show only Accessories by category.</t>
  </si>
  <si>
    <t>Final Table wth the Top rows Freezed using the Freeze Panes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</si>
</sst>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21" formatCode="d\-mmm"/>
    </dxf>
    <dxf>
      <numFmt numFmtId="0" formatCode="General"/>
    </dxf>
    <dxf>
      <numFmt numFmtId="21" formatCode="d\-mmm"/>
    </dxf>
    <dxf>
      <numFmt numFmtId="21" formatCode="d\-mmm"/>
    </dxf>
    <dxf>
      <numFmt numFmtId="0" formatCode="General"/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CBC43-53BF-4DE1-AD2B-1D5B5DF7E671}" name="Sales" displayName="Sales" ref="A1:E102" totalsRowCount="1">
  <autoFilter ref="A1:E101" xr:uid="{AA3CBC43-53BF-4DE1-AD2B-1D5B5DF7E671}"/>
  <tableColumns count="5">
    <tableColumn id="1" xr3:uid="{1993EC87-E7CA-4EC7-AFC5-9EC50894D57B}" name="Date" totalsRowLabel="Total" dataDxfId="4"/>
    <tableColumn id="2" xr3:uid="{DA14125D-1EA6-47CB-81C5-B81BD9DF7944}" name="Product"/>
    <tableColumn id="3" xr3:uid="{5082BC7C-62CF-4399-876B-7A26F29536A5}" name="Category"/>
    <tableColumn id="4" xr3:uid="{7BB1AACA-8584-4D51-83A3-633BB3ADEB19}" name="Quantity"/>
    <tableColumn id="5" xr3:uid="{5369EBF3-737C-4167-BDC0-C28EBE94C7A8}" name="Unit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DF2751-8967-422D-A5D1-C21BEA0FF2EB}" name="Table2" displayName="Table2" ref="B2:G102" totalsRowShown="0">
  <autoFilter ref="B2:G102" xr:uid="{EBDF2751-8967-422D-A5D1-C21BEA0FF2EB}"/>
  <sortState xmlns:xlrd2="http://schemas.microsoft.com/office/spreadsheetml/2017/richdata2" ref="B3:G102">
    <sortCondition descending="1" ref="G2:G102"/>
  </sortState>
  <tableColumns count="6">
    <tableColumn id="1" xr3:uid="{98389B45-1E01-4FC3-836E-9D779C4A27C9}" name="Date" dataDxfId="6"/>
    <tableColumn id="2" xr3:uid="{7605C53F-3AC4-41DB-A5AC-4DCF3DD5154C}" name="Product"/>
    <tableColumn id="3" xr3:uid="{E696BC51-E797-4CBB-804C-2C70D0C9DC1E}" name="Category"/>
    <tableColumn id="4" xr3:uid="{02F2FBB5-A448-49F4-B0ED-B620B864E872}" name="Quantity"/>
    <tableColumn id="5" xr3:uid="{391693B0-95E7-45BD-A9C2-F1EEB2E67B39}" name="Unit Price"/>
    <tableColumn id="7" xr3:uid="{B58ABED8-C09E-43CB-B152-F00716392A11}" name="Revenue" dataDxfId="5">
      <calculatedColumnFormula>Table2[[#This Row],[Quantity]]*Table2[[#This Row],[Unit Price]]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A00B87-547C-461A-82B2-D76A2BD35F65}" name="Table5" displayName="Table5" ref="B2:G103" totalsRowCount="1">
  <autoFilter ref="B2:G102" xr:uid="{BEA00B87-547C-461A-82B2-D76A2BD35F65}">
    <filterColumn colId="2">
      <filters>
        <filter val="Accessories"/>
      </filters>
    </filterColumn>
  </autoFilter>
  <tableColumns count="6">
    <tableColumn id="1" xr3:uid="{C09B3307-CC35-41D3-BAFE-A8B7854D4BB2}" name="Date" totalsRowLabel="Total" dataDxfId="3"/>
    <tableColumn id="2" xr3:uid="{A85C4C07-5DC0-4F19-9C89-423F52B2366F}" name="Product"/>
    <tableColumn id="3" xr3:uid="{F04F31EE-8069-4115-A47F-CF5155EB9972}" name="Category"/>
    <tableColumn id="4" xr3:uid="{45439CD0-6471-4E45-B1A0-0CCFF58558DE}" name="Quantity"/>
    <tableColumn id="5" xr3:uid="{2576F4B3-C800-4206-853E-6910080DE689}" name="Unit Price"/>
    <tableColumn id="6" xr3:uid="{494A7127-D9BF-452D-96B3-2C346E3F5497}" name="Revenue" totalsRowFunction="sum" dataDxfId="2">
      <calculatedColumnFormula>Table5[[#This Row],[Quantity]]*Table5[[#This Row],[Unit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FA6493-19ED-4DDA-B2EA-E39D8F8EBFED}" name="FinalTable" displayName="FinalTable" ref="A1:F102" totalsRowCount="1">
  <autoFilter ref="A1:F101" xr:uid="{E4FA6493-19ED-4DDA-B2EA-E39D8F8EBFED}"/>
  <tableColumns count="6">
    <tableColumn id="1" xr3:uid="{72517A94-5138-466B-AC92-A44AB23DD454}" name="Date" totalsRowLabel="Total" dataDxfId="1"/>
    <tableColumn id="2" xr3:uid="{93A2BF68-44E2-46D9-A484-2CABEF6FD221}" name="Product"/>
    <tableColumn id="3" xr3:uid="{D44C6A7B-F3E4-4F2F-ACF4-2A7C8E5D6312}" name="Category"/>
    <tableColumn id="4" xr3:uid="{C9BE252A-EEFC-4B28-A61B-0677FDE1540D}" name="Quantity"/>
    <tableColumn id="5" xr3:uid="{FDEE569B-A3B2-45AE-A7D5-9BDD44E6F604}" name="Unit Price"/>
    <tableColumn id="6" xr3:uid="{CC24B8CB-8B58-4711-9409-9A100363F02C}" name="Revenue" totalsRowFunction="sum" dataDxfId="0">
      <calculatedColumnFormula>FinalTable[[#This Row],[Quantity]]*FinalTable[[#This Row],[Unit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AF98-4ADD-41F1-A039-EE6B04F9B263}">
  <dimension ref="A1:N101"/>
  <sheetViews>
    <sheetView workbookViewId="0">
      <selection activeCell="H14" sqref="H14"/>
    </sheetView>
  </sheetViews>
  <sheetFormatPr defaultRowHeight="15" x14ac:dyDescent="0.25"/>
  <cols>
    <col min="2" max="2" width="18.140625" bestFit="1" customWidth="1"/>
    <col min="3" max="3" width="11.5703125" bestFit="1" customWidth="1"/>
    <col min="5" max="5" width="9.42578125" bestFit="1" customWidth="1"/>
    <col min="10" max="10" width="4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25">
      <c r="A2" s="1">
        <v>46023</v>
      </c>
      <c r="B2" t="s">
        <v>5</v>
      </c>
      <c r="C2" t="s">
        <v>6</v>
      </c>
      <c r="D2">
        <v>2</v>
      </c>
      <c r="E2">
        <v>529.41999999999996</v>
      </c>
    </row>
    <row r="3" spans="1:14" x14ac:dyDescent="0.25">
      <c r="A3" s="1">
        <v>46024</v>
      </c>
      <c r="B3" t="s">
        <v>7</v>
      </c>
      <c r="C3" t="s">
        <v>8</v>
      </c>
      <c r="D3">
        <v>9</v>
      </c>
      <c r="E3">
        <v>91.01</v>
      </c>
    </row>
    <row r="4" spans="1:14" x14ac:dyDescent="0.25">
      <c r="A4" s="1">
        <v>46025</v>
      </c>
      <c r="B4" t="s">
        <v>9</v>
      </c>
      <c r="C4" t="s">
        <v>6</v>
      </c>
      <c r="D4">
        <v>6</v>
      </c>
      <c r="E4">
        <v>429.73</v>
      </c>
    </row>
    <row r="5" spans="1:14" x14ac:dyDescent="0.25">
      <c r="A5" s="1">
        <v>46026</v>
      </c>
      <c r="B5" t="s">
        <v>10</v>
      </c>
      <c r="C5" t="s">
        <v>11</v>
      </c>
      <c r="D5">
        <v>6</v>
      </c>
      <c r="E5">
        <v>379.57</v>
      </c>
      <c r="N5" t="s">
        <v>54</v>
      </c>
    </row>
    <row r="6" spans="1:14" x14ac:dyDescent="0.25">
      <c r="A6" s="1">
        <v>46027</v>
      </c>
      <c r="B6" t="s">
        <v>12</v>
      </c>
      <c r="C6" t="s">
        <v>13</v>
      </c>
      <c r="D6">
        <v>2</v>
      </c>
      <c r="E6">
        <v>293.79000000000002</v>
      </c>
    </row>
    <row r="7" spans="1:14" x14ac:dyDescent="0.25">
      <c r="A7" s="1">
        <v>46028</v>
      </c>
      <c r="B7" t="s">
        <v>9</v>
      </c>
      <c r="C7" t="s">
        <v>6</v>
      </c>
      <c r="D7">
        <v>27</v>
      </c>
      <c r="E7">
        <v>185.49</v>
      </c>
    </row>
    <row r="8" spans="1:14" x14ac:dyDescent="0.25">
      <c r="A8" s="1">
        <v>46029</v>
      </c>
      <c r="B8" t="s">
        <v>14</v>
      </c>
      <c r="C8" t="s">
        <v>13</v>
      </c>
      <c r="D8">
        <v>52</v>
      </c>
      <c r="E8">
        <v>438.57</v>
      </c>
    </row>
    <row r="9" spans="1:14" x14ac:dyDescent="0.25">
      <c r="A9" s="1">
        <v>46030</v>
      </c>
      <c r="B9" t="s">
        <v>15</v>
      </c>
      <c r="C9" t="s">
        <v>16</v>
      </c>
      <c r="D9">
        <v>45</v>
      </c>
      <c r="E9">
        <v>691.66</v>
      </c>
    </row>
    <row r="10" spans="1:14" x14ac:dyDescent="0.25">
      <c r="A10" s="1">
        <v>46031</v>
      </c>
      <c r="B10" t="s">
        <v>17</v>
      </c>
      <c r="C10" t="s">
        <v>18</v>
      </c>
      <c r="D10">
        <v>14</v>
      </c>
      <c r="E10">
        <v>864.06</v>
      </c>
    </row>
    <row r="11" spans="1:14" x14ac:dyDescent="0.25">
      <c r="A11" s="1">
        <v>46032</v>
      </c>
      <c r="B11" t="s">
        <v>19</v>
      </c>
      <c r="C11" t="s">
        <v>18</v>
      </c>
      <c r="D11">
        <v>6</v>
      </c>
      <c r="E11">
        <v>379.14</v>
      </c>
    </row>
    <row r="12" spans="1:14" x14ac:dyDescent="0.25">
      <c r="A12" s="1">
        <v>46033</v>
      </c>
      <c r="B12" t="s">
        <v>20</v>
      </c>
      <c r="C12" t="s">
        <v>18</v>
      </c>
      <c r="D12">
        <v>39</v>
      </c>
      <c r="E12">
        <v>282.2</v>
      </c>
    </row>
    <row r="13" spans="1:14" x14ac:dyDescent="0.25">
      <c r="A13" s="1">
        <v>46034</v>
      </c>
      <c r="B13" t="s">
        <v>21</v>
      </c>
      <c r="C13" t="s">
        <v>11</v>
      </c>
      <c r="D13">
        <v>35</v>
      </c>
      <c r="E13">
        <v>281.07</v>
      </c>
    </row>
    <row r="14" spans="1:14" x14ac:dyDescent="0.25">
      <c r="A14" s="1">
        <v>46035</v>
      </c>
      <c r="B14" t="s">
        <v>22</v>
      </c>
      <c r="C14" t="s">
        <v>23</v>
      </c>
      <c r="D14">
        <v>36</v>
      </c>
      <c r="E14">
        <v>19</v>
      </c>
    </row>
    <row r="15" spans="1:14" x14ac:dyDescent="0.25">
      <c r="A15" s="1">
        <v>46036</v>
      </c>
      <c r="B15" t="s">
        <v>9</v>
      </c>
      <c r="C15" t="s">
        <v>6</v>
      </c>
      <c r="D15">
        <v>57</v>
      </c>
      <c r="E15">
        <v>608.73</v>
      </c>
    </row>
    <row r="16" spans="1:14" x14ac:dyDescent="0.25">
      <c r="A16" s="1">
        <v>46037</v>
      </c>
      <c r="B16" t="s">
        <v>24</v>
      </c>
      <c r="C16" t="s">
        <v>13</v>
      </c>
      <c r="D16">
        <v>46</v>
      </c>
      <c r="E16">
        <v>62.69</v>
      </c>
    </row>
    <row r="17" spans="1:5" x14ac:dyDescent="0.25">
      <c r="A17" s="1">
        <v>46038</v>
      </c>
      <c r="B17" t="s">
        <v>25</v>
      </c>
      <c r="C17" t="s">
        <v>6</v>
      </c>
      <c r="D17">
        <v>50</v>
      </c>
      <c r="E17">
        <v>231</v>
      </c>
    </row>
    <row r="18" spans="1:5" x14ac:dyDescent="0.25">
      <c r="A18" s="1">
        <v>46039</v>
      </c>
      <c r="B18" t="s">
        <v>26</v>
      </c>
      <c r="C18" t="s">
        <v>11</v>
      </c>
      <c r="D18">
        <v>56</v>
      </c>
      <c r="E18">
        <v>256.05</v>
      </c>
    </row>
    <row r="19" spans="1:5" x14ac:dyDescent="0.25">
      <c r="A19" s="1">
        <v>46040</v>
      </c>
      <c r="B19" t="s">
        <v>27</v>
      </c>
      <c r="C19" t="s">
        <v>18</v>
      </c>
      <c r="D19">
        <v>41</v>
      </c>
      <c r="E19">
        <v>760.65</v>
      </c>
    </row>
    <row r="20" spans="1:5" x14ac:dyDescent="0.25">
      <c r="A20" s="1">
        <v>46041</v>
      </c>
      <c r="B20" t="s">
        <v>28</v>
      </c>
      <c r="C20" t="s">
        <v>8</v>
      </c>
      <c r="D20">
        <v>23</v>
      </c>
      <c r="E20">
        <v>33.049999999999997</v>
      </c>
    </row>
    <row r="21" spans="1:5" x14ac:dyDescent="0.25">
      <c r="A21" s="1">
        <v>46042</v>
      </c>
      <c r="B21" t="s">
        <v>19</v>
      </c>
      <c r="C21" t="s">
        <v>18</v>
      </c>
      <c r="D21">
        <v>39</v>
      </c>
      <c r="E21">
        <v>593.38</v>
      </c>
    </row>
    <row r="22" spans="1:5" x14ac:dyDescent="0.25">
      <c r="A22" s="1">
        <v>46043</v>
      </c>
      <c r="B22" t="s">
        <v>24</v>
      </c>
      <c r="C22" t="s">
        <v>13</v>
      </c>
      <c r="D22">
        <v>11</v>
      </c>
      <c r="E22">
        <v>247.26</v>
      </c>
    </row>
    <row r="23" spans="1:5" x14ac:dyDescent="0.25">
      <c r="A23" s="1">
        <v>46044</v>
      </c>
      <c r="B23" t="s">
        <v>29</v>
      </c>
      <c r="C23" t="s">
        <v>18</v>
      </c>
      <c r="D23">
        <v>15</v>
      </c>
      <c r="E23">
        <v>635.08000000000004</v>
      </c>
    </row>
    <row r="24" spans="1:5" x14ac:dyDescent="0.25">
      <c r="A24" s="1">
        <v>46045</v>
      </c>
      <c r="B24" t="s">
        <v>30</v>
      </c>
      <c r="C24" t="s">
        <v>16</v>
      </c>
      <c r="D24">
        <v>15</v>
      </c>
      <c r="E24">
        <v>1250.52</v>
      </c>
    </row>
    <row r="25" spans="1:5" x14ac:dyDescent="0.25">
      <c r="A25" s="1">
        <v>46046</v>
      </c>
      <c r="B25" t="s">
        <v>31</v>
      </c>
      <c r="C25" t="s">
        <v>16</v>
      </c>
      <c r="D25">
        <v>26</v>
      </c>
      <c r="E25">
        <v>474.84</v>
      </c>
    </row>
    <row r="26" spans="1:5" x14ac:dyDescent="0.25">
      <c r="A26" s="1">
        <v>46047</v>
      </c>
      <c r="B26" t="s">
        <v>32</v>
      </c>
      <c r="C26" t="s">
        <v>8</v>
      </c>
      <c r="D26">
        <v>57</v>
      </c>
      <c r="E26">
        <v>88.97</v>
      </c>
    </row>
    <row r="27" spans="1:5" x14ac:dyDescent="0.25">
      <c r="A27" s="1">
        <v>46048</v>
      </c>
      <c r="B27" t="s">
        <v>33</v>
      </c>
      <c r="C27" t="s">
        <v>8</v>
      </c>
      <c r="D27">
        <v>26</v>
      </c>
      <c r="E27">
        <v>107.32</v>
      </c>
    </row>
    <row r="28" spans="1:5" x14ac:dyDescent="0.25">
      <c r="A28" s="1">
        <v>46049</v>
      </c>
      <c r="B28" t="s">
        <v>34</v>
      </c>
      <c r="C28" t="s">
        <v>6</v>
      </c>
      <c r="D28">
        <v>10</v>
      </c>
      <c r="E28">
        <v>214.82</v>
      </c>
    </row>
    <row r="29" spans="1:5" x14ac:dyDescent="0.25">
      <c r="A29" s="1">
        <v>46050</v>
      </c>
      <c r="B29" t="s">
        <v>32</v>
      </c>
      <c r="C29" t="s">
        <v>8</v>
      </c>
      <c r="D29">
        <v>35</v>
      </c>
      <c r="E29">
        <v>38.9</v>
      </c>
    </row>
    <row r="30" spans="1:5" x14ac:dyDescent="0.25">
      <c r="A30" s="1">
        <v>46051</v>
      </c>
      <c r="B30" t="s">
        <v>35</v>
      </c>
      <c r="C30" t="s">
        <v>13</v>
      </c>
      <c r="D30">
        <v>58</v>
      </c>
      <c r="E30">
        <v>304.26</v>
      </c>
    </row>
    <row r="31" spans="1:5" x14ac:dyDescent="0.25">
      <c r="A31" s="1">
        <v>46052</v>
      </c>
      <c r="B31" t="s">
        <v>17</v>
      </c>
      <c r="C31" t="s">
        <v>18</v>
      </c>
      <c r="D31">
        <v>9</v>
      </c>
      <c r="E31">
        <v>488</v>
      </c>
    </row>
    <row r="32" spans="1:5" x14ac:dyDescent="0.25">
      <c r="A32" s="1">
        <v>46053</v>
      </c>
      <c r="B32" t="s">
        <v>10</v>
      </c>
      <c r="C32" t="s">
        <v>11</v>
      </c>
      <c r="D32">
        <v>56</v>
      </c>
      <c r="E32">
        <v>265.13</v>
      </c>
    </row>
    <row r="33" spans="1:5" x14ac:dyDescent="0.25">
      <c r="A33" s="1">
        <v>46054</v>
      </c>
      <c r="B33" t="s">
        <v>25</v>
      </c>
      <c r="C33" t="s">
        <v>6</v>
      </c>
      <c r="D33">
        <v>51</v>
      </c>
      <c r="E33">
        <v>489.12</v>
      </c>
    </row>
    <row r="34" spans="1:5" x14ac:dyDescent="0.25">
      <c r="A34" s="1">
        <v>46055</v>
      </c>
      <c r="B34" t="s">
        <v>36</v>
      </c>
      <c r="C34" t="s">
        <v>13</v>
      </c>
      <c r="D34">
        <v>25</v>
      </c>
      <c r="E34">
        <v>209.36</v>
      </c>
    </row>
    <row r="35" spans="1:5" x14ac:dyDescent="0.25">
      <c r="A35" s="1">
        <v>46056</v>
      </c>
      <c r="B35" t="s">
        <v>37</v>
      </c>
      <c r="C35" t="s">
        <v>23</v>
      </c>
      <c r="D35">
        <v>17</v>
      </c>
      <c r="E35">
        <v>58.32</v>
      </c>
    </row>
    <row r="36" spans="1:5" x14ac:dyDescent="0.25">
      <c r="A36" s="1">
        <v>46057</v>
      </c>
      <c r="B36" t="s">
        <v>30</v>
      </c>
      <c r="C36" t="s">
        <v>16</v>
      </c>
      <c r="D36">
        <v>44</v>
      </c>
      <c r="E36">
        <v>1109.01</v>
      </c>
    </row>
    <row r="37" spans="1:5" x14ac:dyDescent="0.25">
      <c r="A37" s="1">
        <v>46058</v>
      </c>
      <c r="B37" t="s">
        <v>9</v>
      </c>
      <c r="C37" t="s">
        <v>6</v>
      </c>
      <c r="D37">
        <v>49</v>
      </c>
      <c r="E37">
        <v>216.1</v>
      </c>
    </row>
    <row r="38" spans="1:5" x14ac:dyDescent="0.25">
      <c r="A38" s="1">
        <v>46059</v>
      </c>
      <c r="B38" t="s">
        <v>38</v>
      </c>
      <c r="C38" t="s">
        <v>6</v>
      </c>
      <c r="D38">
        <v>8</v>
      </c>
      <c r="E38">
        <v>233.71</v>
      </c>
    </row>
    <row r="39" spans="1:5" x14ac:dyDescent="0.25">
      <c r="A39" s="1">
        <v>46060</v>
      </c>
      <c r="B39" t="s">
        <v>33</v>
      </c>
      <c r="C39" t="s">
        <v>8</v>
      </c>
      <c r="D39">
        <v>1</v>
      </c>
      <c r="E39">
        <v>114.92</v>
      </c>
    </row>
    <row r="40" spans="1:5" x14ac:dyDescent="0.25">
      <c r="A40" s="1">
        <v>46061</v>
      </c>
      <c r="B40" t="s">
        <v>38</v>
      </c>
      <c r="C40" t="s">
        <v>6</v>
      </c>
      <c r="D40">
        <v>33</v>
      </c>
      <c r="E40">
        <v>542.9</v>
      </c>
    </row>
    <row r="41" spans="1:5" x14ac:dyDescent="0.25">
      <c r="A41" s="1">
        <v>46062</v>
      </c>
      <c r="B41" t="s">
        <v>36</v>
      </c>
      <c r="C41" t="s">
        <v>13</v>
      </c>
      <c r="D41">
        <v>56</v>
      </c>
      <c r="E41">
        <v>323.89</v>
      </c>
    </row>
    <row r="42" spans="1:5" x14ac:dyDescent="0.25">
      <c r="A42" s="1">
        <v>46063</v>
      </c>
      <c r="B42" t="s">
        <v>39</v>
      </c>
      <c r="C42" t="s">
        <v>16</v>
      </c>
      <c r="D42">
        <v>39</v>
      </c>
      <c r="E42">
        <v>378.48</v>
      </c>
    </row>
    <row r="43" spans="1:5" x14ac:dyDescent="0.25">
      <c r="A43" s="1">
        <v>46064</v>
      </c>
      <c r="B43" t="s">
        <v>17</v>
      </c>
      <c r="C43" t="s">
        <v>18</v>
      </c>
      <c r="D43">
        <v>35</v>
      </c>
      <c r="E43">
        <v>860.94</v>
      </c>
    </row>
    <row r="44" spans="1:5" x14ac:dyDescent="0.25">
      <c r="A44" s="1">
        <v>46065</v>
      </c>
      <c r="B44" t="s">
        <v>36</v>
      </c>
      <c r="C44" t="s">
        <v>13</v>
      </c>
      <c r="D44">
        <v>39</v>
      </c>
      <c r="E44">
        <v>182.35</v>
      </c>
    </row>
    <row r="45" spans="1:5" x14ac:dyDescent="0.25">
      <c r="A45" s="1">
        <v>46066</v>
      </c>
      <c r="B45" t="s">
        <v>10</v>
      </c>
      <c r="C45" t="s">
        <v>11</v>
      </c>
      <c r="D45">
        <v>60</v>
      </c>
      <c r="E45">
        <v>531.13</v>
      </c>
    </row>
    <row r="46" spans="1:5" x14ac:dyDescent="0.25">
      <c r="A46" s="1">
        <v>46067</v>
      </c>
      <c r="B46" t="s">
        <v>31</v>
      </c>
      <c r="C46" t="s">
        <v>16</v>
      </c>
      <c r="D46">
        <v>16</v>
      </c>
      <c r="E46">
        <v>181.1</v>
      </c>
    </row>
    <row r="47" spans="1:5" x14ac:dyDescent="0.25">
      <c r="A47" s="1">
        <v>46068</v>
      </c>
      <c r="B47" t="s">
        <v>36</v>
      </c>
      <c r="C47" t="s">
        <v>13</v>
      </c>
      <c r="D47">
        <v>6</v>
      </c>
      <c r="E47">
        <v>374</v>
      </c>
    </row>
    <row r="48" spans="1:5" x14ac:dyDescent="0.25">
      <c r="A48" s="1">
        <v>46069</v>
      </c>
      <c r="B48" t="s">
        <v>30</v>
      </c>
      <c r="C48" t="s">
        <v>16</v>
      </c>
      <c r="D48">
        <v>49</v>
      </c>
      <c r="E48">
        <v>845.79</v>
      </c>
    </row>
    <row r="49" spans="1:5" x14ac:dyDescent="0.25">
      <c r="A49" s="1">
        <v>46070</v>
      </c>
      <c r="B49" t="s">
        <v>7</v>
      </c>
      <c r="C49" t="s">
        <v>8</v>
      </c>
      <c r="D49">
        <v>43</v>
      </c>
      <c r="E49">
        <v>62.28</v>
      </c>
    </row>
    <row r="50" spans="1:5" x14ac:dyDescent="0.25">
      <c r="A50" s="1">
        <v>46071</v>
      </c>
      <c r="B50" t="s">
        <v>24</v>
      </c>
      <c r="C50" t="s">
        <v>13</v>
      </c>
      <c r="D50">
        <v>17</v>
      </c>
      <c r="E50">
        <v>278.01</v>
      </c>
    </row>
    <row r="51" spans="1:5" x14ac:dyDescent="0.25">
      <c r="A51" s="1">
        <v>46072</v>
      </c>
      <c r="B51" t="s">
        <v>35</v>
      </c>
      <c r="C51" t="s">
        <v>13</v>
      </c>
      <c r="D51">
        <v>14</v>
      </c>
      <c r="E51">
        <v>466.59</v>
      </c>
    </row>
    <row r="52" spans="1:5" x14ac:dyDescent="0.25">
      <c r="A52" s="1">
        <v>46073</v>
      </c>
      <c r="B52" t="s">
        <v>15</v>
      </c>
      <c r="C52" t="s">
        <v>16</v>
      </c>
      <c r="D52">
        <v>46</v>
      </c>
      <c r="E52">
        <v>536.4</v>
      </c>
    </row>
    <row r="53" spans="1:5" x14ac:dyDescent="0.25">
      <c r="A53" s="1">
        <v>46074</v>
      </c>
      <c r="B53" t="s">
        <v>38</v>
      </c>
      <c r="C53" t="s">
        <v>6</v>
      </c>
      <c r="D53">
        <v>29</v>
      </c>
      <c r="E53">
        <v>633.75</v>
      </c>
    </row>
    <row r="54" spans="1:5" x14ac:dyDescent="0.25">
      <c r="A54" s="1">
        <v>46075</v>
      </c>
      <c r="B54" t="s">
        <v>22</v>
      </c>
      <c r="C54" t="s">
        <v>23</v>
      </c>
      <c r="D54">
        <v>16</v>
      </c>
      <c r="E54">
        <v>15.03</v>
      </c>
    </row>
    <row r="55" spans="1:5" x14ac:dyDescent="0.25">
      <c r="A55" s="1">
        <v>46076</v>
      </c>
      <c r="B55" t="s">
        <v>19</v>
      </c>
      <c r="C55" t="s">
        <v>18</v>
      </c>
      <c r="D55">
        <v>38</v>
      </c>
      <c r="E55">
        <v>525.29</v>
      </c>
    </row>
    <row r="56" spans="1:5" x14ac:dyDescent="0.25">
      <c r="A56" s="1">
        <v>46077</v>
      </c>
      <c r="B56" t="s">
        <v>24</v>
      </c>
      <c r="C56" t="s">
        <v>13</v>
      </c>
      <c r="D56">
        <v>1</v>
      </c>
      <c r="E56">
        <v>63.37</v>
      </c>
    </row>
    <row r="57" spans="1:5" x14ac:dyDescent="0.25">
      <c r="A57" s="1">
        <v>46078</v>
      </c>
      <c r="B57" t="s">
        <v>5</v>
      </c>
      <c r="C57" t="s">
        <v>6</v>
      </c>
      <c r="D57">
        <v>15</v>
      </c>
      <c r="E57">
        <v>84.48</v>
      </c>
    </row>
    <row r="58" spans="1:5" x14ac:dyDescent="0.25">
      <c r="A58" s="1">
        <v>46079</v>
      </c>
      <c r="B58" t="s">
        <v>40</v>
      </c>
      <c r="C58" t="s">
        <v>11</v>
      </c>
      <c r="D58">
        <v>5</v>
      </c>
      <c r="E58">
        <v>689.86</v>
      </c>
    </row>
    <row r="59" spans="1:5" x14ac:dyDescent="0.25">
      <c r="A59" s="1">
        <v>46080</v>
      </c>
      <c r="B59" t="s">
        <v>27</v>
      </c>
      <c r="C59" t="s">
        <v>18</v>
      </c>
      <c r="D59">
        <v>14</v>
      </c>
      <c r="E59">
        <v>512.96</v>
      </c>
    </row>
    <row r="60" spans="1:5" x14ac:dyDescent="0.25">
      <c r="A60" s="1">
        <v>46081</v>
      </c>
      <c r="B60" t="s">
        <v>9</v>
      </c>
      <c r="C60" t="s">
        <v>6</v>
      </c>
      <c r="D60">
        <v>37</v>
      </c>
      <c r="E60">
        <v>351.96</v>
      </c>
    </row>
    <row r="61" spans="1:5" x14ac:dyDescent="0.25">
      <c r="A61" s="1">
        <v>46082</v>
      </c>
      <c r="B61" t="s">
        <v>41</v>
      </c>
      <c r="C61" t="s">
        <v>16</v>
      </c>
      <c r="D61">
        <v>52</v>
      </c>
      <c r="E61">
        <v>669.88</v>
      </c>
    </row>
    <row r="62" spans="1:5" x14ac:dyDescent="0.25">
      <c r="A62" s="1">
        <v>46083</v>
      </c>
      <c r="B62" t="s">
        <v>10</v>
      </c>
      <c r="C62" t="s">
        <v>11</v>
      </c>
      <c r="D62">
        <v>43</v>
      </c>
      <c r="E62">
        <v>602.6</v>
      </c>
    </row>
    <row r="63" spans="1:5" x14ac:dyDescent="0.25">
      <c r="A63" s="1">
        <v>46084</v>
      </c>
      <c r="B63" t="s">
        <v>42</v>
      </c>
      <c r="C63" t="s">
        <v>23</v>
      </c>
      <c r="D63">
        <v>30</v>
      </c>
      <c r="E63">
        <v>52.1</v>
      </c>
    </row>
    <row r="64" spans="1:5" x14ac:dyDescent="0.25">
      <c r="A64" s="1">
        <v>46085</v>
      </c>
      <c r="B64" t="s">
        <v>10</v>
      </c>
      <c r="C64" t="s">
        <v>11</v>
      </c>
      <c r="D64">
        <v>4</v>
      </c>
      <c r="E64">
        <v>572.75</v>
      </c>
    </row>
    <row r="65" spans="1:5" x14ac:dyDescent="0.25">
      <c r="A65" s="1">
        <v>46086</v>
      </c>
      <c r="B65" t="s">
        <v>19</v>
      </c>
      <c r="C65" t="s">
        <v>18</v>
      </c>
      <c r="D65">
        <v>16</v>
      </c>
      <c r="E65">
        <v>220.94</v>
      </c>
    </row>
    <row r="66" spans="1:5" x14ac:dyDescent="0.25">
      <c r="A66" s="1">
        <v>46087</v>
      </c>
      <c r="B66" t="s">
        <v>35</v>
      </c>
      <c r="C66" t="s">
        <v>13</v>
      </c>
      <c r="D66">
        <v>9</v>
      </c>
      <c r="E66">
        <v>228.28</v>
      </c>
    </row>
    <row r="67" spans="1:5" x14ac:dyDescent="0.25">
      <c r="A67" s="1">
        <v>46088</v>
      </c>
      <c r="B67" t="s">
        <v>27</v>
      </c>
      <c r="C67" t="s">
        <v>18</v>
      </c>
      <c r="D67">
        <v>16</v>
      </c>
      <c r="E67">
        <v>794.57</v>
      </c>
    </row>
    <row r="68" spans="1:5" x14ac:dyDescent="0.25">
      <c r="A68" s="1">
        <v>46089</v>
      </c>
      <c r="B68" t="s">
        <v>21</v>
      </c>
      <c r="C68" t="s">
        <v>11</v>
      </c>
      <c r="D68">
        <v>52</v>
      </c>
      <c r="E68">
        <v>1054.42</v>
      </c>
    </row>
    <row r="69" spans="1:5" x14ac:dyDescent="0.25">
      <c r="A69" s="1">
        <v>46090</v>
      </c>
      <c r="B69" t="s">
        <v>36</v>
      </c>
      <c r="C69" t="s">
        <v>13</v>
      </c>
      <c r="D69">
        <v>4</v>
      </c>
      <c r="E69">
        <v>336.51</v>
      </c>
    </row>
    <row r="70" spans="1:5" x14ac:dyDescent="0.25">
      <c r="A70" s="1">
        <v>46091</v>
      </c>
      <c r="B70" t="s">
        <v>36</v>
      </c>
      <c r="C70" t="s">
        <v>13</v>
      </c>
      <c r="D70">
        <v>6</v>
      </c>
      <c r="E70">
        <v>465.39</v>
      </c>
    </row>
    <row r="71" spans="1:5" x14ac:dyDescent="0.25">
      <c r="A71" s="1">
        <v>46092</v>
      </c>
      <c r="B71" t="s">
        <v>15</v>
      </c>
      <c r="C71" t="s">
        <v>16</v>
      </c>
      <c r="D71">
        <v>11</v>
      </c>
      <c r="E71">
        <v>668.98</v>
      </c>
    </row>
    <row r="72" spans="1:5" x14ac:dyDescent="0.25">
      <c r="A72" s="1">
        <v>46093</v>
      </c>
      <c r="B72" t="s">
        <v>43</v>
      </c>
      <c r="C72" t="s">
        <v>23</v>
      </c>
      <c r="D72">
        <v>56</v>
      </c>
      <c r="E72">
        <v>25.26</v>
      </c>
    </row>
    <row r="73" spans="1:5" x14ac:dyDescent="0.25">
      <c r="A73" s="1">
        <v>46094</v>
      </c>
      <c r="B73" t="s">
        <v>26</v>
      </c>
      <c r="C73" t="s">
        <v>11</v>
      </c>
      <c r="D73">
        <v>25</v>
      </c>
      <c r="E73">
        <v>152.26</v>
      </c>
    </row>
    <row r="74" spans="1:5" x14ac:dyDescent="0.25">
      <c r="A74" s="1">
        <v>46095</v>
      </c>
      <c r="B74" t="s">
        <v>44</v>
      </c>
      <c r="C74" t="s">
        <v>23</v>
      </c>
      <c r="D74">
        <v>60</v>
      </c>
      <c r="E74">
        <v>47.48</v>
      </c>
    </row>
    <row r="75" spans="1:5" x14ac:dyDescent="0.25">
      <c r="A75" s="1">
        <v>46096</v>
      </c>
      <c r="B75" t="s">
        <v>44</v>
      </c>
      <c r="C75" t="s">
        <v>23</v>
      </c>
      <c r="D75">
        <v>28</v>
      </c>
      <c r="E75">
        <v>42.4</v>
      </c>
    </row>
    <row r="76" spans="1:5" x14ac:dyDescent="0.25">
      <c r="A76" s="1">
        <v>46097</v>
      </c>
      <c r="B76" t="s">
        <v>9</v>
      </c>
      <c r="C76" t="s">
        <v>6</v>
      </c>
      <c r="D76">
        <v>43</v>
      </c>
      <c r="E76">
        <v>514.15</v>
      </c>
    </row>
    <row r="77" spans="1:5" x14ac:dyDescent="0.25">
      <c r="A77" s="1">
        <v>46098</v>
      </c>
      <c r="B77" t="s">
        <v>7</v>
      </c>
      <c r="C77" t="s">
        <v>8</v>
      </c>
      <c r="D77">
        <v>19</v>
      </c>
      <c r="E77">
        <v>33.950000000000003</v>
      </c>
    </row>
    <row r="78" spans="1:5" x14ac:dyDescent="0.25">
      <c r="A78" s="1">
        <v>46099</v>
      </c>
      <c r="B78" t="s">
        <v>45</v>
      </c>
      <c r="C78" t="s">
        <v>11</v>
      </c>
      <c r="D78">
        <v>48</v>
      </c>
      <c r="E78">
        <v>719.3</v>
      </c>
    </row>
    <row r="79" spans="1:5" x14ac:dyDescent="0.25">
      <c r="A79" s="1">
        <v>46100</v>
      </c>
      <c r="B79" t="s">
        <v>38</v>
      </c>
      <c r="C79" t="s">
        <v>6</v>
      </c>
      <c r="D79">
        <v>4</v>
      </c>
      <c r="E79">
        <v>73.09</v>
      </c>
    </row>
    <row r="80" spans="1:5" x14ac:dyDescent="0.25">
      <c r="A80" s="1">
        <v>46101</v>
      </c>
      <c r="B80" t="s">
        <v>37</v>
      </c>
      <c r="C80" t="s">
        <v>23</v>
      </c>
      <c r="D80">
        <v>59</v>
      </c>
      <c r="E80">
        <v>51.46</v>
      </c>
    </row>
    <row r="81" spans="1:5" x14ac:dyDescent="0.25">
      <c r="A81" s="1">
        <v>46102</v>
      </c>
      <c r="B81" t="s">
        <v>46</v>
      </c>
      <c r="C81" t="s">
        <v>8</v>
      </c>
      <c r="D81">
        <v>33</v>
      </c>
      <c r="E81">
        <v>18.809999999999999</v>
      </c>
    </row>
    <row r="82" spans="1:5" x14ac:dyDescent="0.25">
      <c r="A82" s="1">
        <v>46103</v>
      </c>
      <c r="B82" t="s">
        <v>46</v>
      </c>
      <c r="C82" t="s">
        <v>8</v>
      </c>
      <c r="D82">
        <v>39</v>
      </c>
      <c r="E82">
        <v>17.48</v>
      </c>
    </row>
    <row r="83" spans="1:5" x14ac:dyDescent="0.25">
      <c r="A83" s="1">
        <v>46104</v>
      </c>
      <c r="B83" t="s">
        <v>15</v>
      </c>
      <c r="C83" t="s">
        <v>16</v>
      </c>
      <c r="D83">
        <v>26</v>
      </c>
      <c r="E83">
        <v>267.83999999999997</v>
      </c>
    </row>
    <row r="84" spans="1:5" x14ac:dyDescent="0.25">
      <c r="A84" s="1">
        <v>46105</v>
      </c>
      <c r="B84" t="s">
        <v>24</v>
      </c>
      <c r="C84" t="s">
        <v>13</v>
      </c>
      <c r="D84">
        <v>38</v>
      </c>
      <c r="E84">
        <v>309.42</v>
      </c>
    </row>
    <row r="85" spans="1:5" x14ac:dyDescent="0.25">
      <c r="A85" s="1">
        <v>46106</v>
      </c>
      <c r="B85" t="s">
        <v>36</v>
      </c>
      <c r="C85" t="s">
        <v>13</v>
      </c>
      <c r="D85">
        <v>27</v>
      </c>
      <c r="E85">
        <v>338.97</v>
      </c>
    </row>
    <row r="86" spans="1:5" x14ac:dyDescent="0.25">
      <c r="A86" s="1">
        <v>46107</v>
      </c>
      <c r="B86" t="s">
        <v>12</v>
      </c>
      <c r="C86" t="s">
        <v>13</v>
      </c>
      <c r="D86">
        <v>21</v>
      </c>
      <c r="E86">
        <v>469.31</v>
      </c>
    </row>
    <row r="87" spans="1:5" x14ac:dyDescent="0.25">
      <c r="A87" s="1">
        <v>46108</v>
      </c>
      <c r="B87" t="s">
        <v>28</v>
      </c>
      <c r="C87" t="s">
        <v>8</v>
      </c>
      <c r="D87">
        <v>16</v>
      </c>
      <c r="E87">
        <v>39.22</v>
      </c>
    </row>
    <row r="88" spans="1:5" x14ac:dyDescent="0.25">
      <c r="A88" s="1">
        <v>46109</v>
      </c>
      <c r="B88" t="s">
        <v>28</v>
      </c>
      <c r="C88" t="s">
        <v>8</v>
      </c>
      <c r="D88">
        <v>30</v>
      </c>
      <c r="E88">
        <v>44.78</v>
      </c>
    </row>
    <row r="89" spans="1:5" x14ac:dyDescent="0.25">
      <c r="A89" s="1">
        <v>46110</v>
      </c>
      <c r="B89" t="s">
        <v>30</v>
      </c>
      <c r="C89" t="s">
        <v>16</v>
      </c>
      <c r="D89">
        <v>1</v>
      </c>
      <c r="E89">
        <v>741.6</v>
      </c>
    </row>
    <row r="90" spans="1:5" x14ac:dyDescent="0.25">
      <c r="A90" s="1">
        <v>46111</v>
      </c>
      <c r="B90" t="s">
        <v>36</v>
      </c>
      <c r="C90" t="s">
        <v>13</v>
      </c>
      <c r="D90">
        <v>5</v>
      </c>
      <c r="E90">
        <v>282.69</v>
      </c>
    </row>
    <row r="91" spans="1:5" x14ac:dyDescent="0.25">
      <c r="A91" s="1">
        <v>46112</v>
      </c>
      <c r="B91" t="s">
        <v>14</v>
      </c>
      <c r="C91" t="s">
        <v>13</v>
      </c>
      <c r="D91">
        <v>9</v>
      </c>
      <c r="E91">
        <v>468.63</v>
      </c>
    </row>
    <row r="92" spans="1:5" x14ac:dyDescent="0.25">
      <c r="A92" s="1">
        <v>46113</v>
      </c>
      <c r="B92" t="s">
        <v>26</v>
      </c>
      <c r="C92" t="s">
        <v>11</v>
      </c>
      <c r="D92">
        <v>24</v>
      </c>
      <c r="E92">
        <v>449.24</v>
      </c>
    </row>
    <row r="93" spans="1:5" x14ac:dyDescent="0.25">
      <c r="A93" s="1">
        <v>46114</v>
      </c>
      <c r="B93" t="s">
        <v>37</v>
      </c>
      <c r="C93" t="s">
        <v>23</v>
      </c>
      <c r="D93">
        <v>46</v>
      </c>
      <c r="E93">
        <v>19.55</v>
      </c>
    </row>
    <row r="94" spans="1:5" x14ac:dyDescent="0.25">
      <c r="A94" s="1">
        <v>46115</v>
      </c>
      <c r="B94" t="s">
        <v>39</v>
      </c>
      <c r="C94" t="s">
        <v>16</v>
      </c>
      <c r="D94">
        <v>1</v>
      </c>
      <c r="E94">
        <v>1035.01</v>
      </c>
    </row>
    <row r="95" spans="1:5" x14ac:dyDescent="0.25">
      <c r="A95" s="1">
        <v>46116</v>
      </c>
      <c r="B95" t="s">
        <v>14</v>
      </c>
      <c r="C95" t="s">
        <v>13</v>
      </c>
      <c r="D95">
        <v>60</v>
      </c>
      <c r="E95">
        <v>341.79</v>
      </c>
    </row>
    <row r="96" spans="1:5" x14ac:dyDescent="0.25">
      <c r="A96" s="1">
        <v>46117</v>
      </c>
      <c r="B96" t="s">
        <v>28</v>
      </c>
      <c r="C96" t="s">
        <v>8</v>
      </c>
      <c r="D96">
        <v>8</v>
      </c>
      <c r="E96">
        <v>107.87</v>
      </c>
    </row>
    <row r="97" spans="1:5" x14ac:dyDescent="0.25">
      <c r="A97" s="1">
        <v>46118</v>
      </c>
      <c r="B97" t="s">
        <v>9</v>
      </c>
      <c r="C97" t="s">
        <v>6</v>
      </c>
      <c r="D97">
        <v>10</v>
      </c>
      <c r="E97">
        <v>219.75</v>
      </c>
    </row>
    <row r="98" spans="1:5" x14ac:dyDescent="0.25">
      <c r="A98" s="1">
        <v>46119</v>
      </c>
      <c r="B98" t="s">
        <v>24</v>
      </c>
      <c r="C98" t="s">
        <v>13</v>
      </c>
      <c r="D98">
        <v>46</v>
      </c>
      <c r="E98">
        <v>191.15</v>
      </c>
    </row>
    <row r="99" spans="1:5" x14ac:dyDescent="0.25">
      <c r="A99" s="1">
        <v>46120</v>
      </c>
      <c r="B99" t="s">
        <v>38</v>
      </c>
      <c r="C99" t="s">
        <v>6</v>
      </c>
      <c r="D99">
        <v>33</v>
      </c>
      <c r="E99">
        <v>362.43</v>
      </c>
    </row>
    <row r="100" spans="1:5" x14ac:dyDescent="0.25">
      <c r="A100" s="1">
        <v>46121</v>
      </c>
      <c r="B100" t="s">
        <v>30</v>
      </c>
      <c r="C100" t="s">
        <v>16</v>
      </c>
      <c r="D100">
        <v>6</v>
      </c>
      <c r="E100">
        <v>988</v>
      </c>
    </row>
    <row r="101" spans="1:5" x14ac:dyDescent="0.25">
      <c r="A101" s="1">
        <v>46122</v>
      </c>
      <c r="B101" t="s">
        <v>31</v>
      </c>
      <c r="C101" t="s">
        <v>16</v>
      </c>
      <c r="D101">
        <v>3</v>
      </c>
      <c r="E101">
        <v>104.96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7588-4C87-498F-BE4E-EBAEB4102385}">
  <dimension ref="A1:H102"/>
  <sheetViews>
    <sheetView tabSelected="1" workbookViewId="0">
      <pane ySplit="1" topLeftCell="A2" activePane="bottomLeft" state="frozen"/>
      <selection pane="bottomLeft" activeCell="R22" sqref="R22"/>
    </sheetView>
  </sheetViews>
  <sheetFormatPr defaultRowHeight="15" x14ac:dyDescent="0.25"/>
  <cols>
    <col min="2" max="2" width="18.140625" bestFit="1" customWidth="1"/>
    <col min="3" max="3" width="11.5703125" bestFit="1" customWidth="1"/>
    <col min="4" max="4" width="10.85546875" customWidth="1"/>
    <col min="5" max="5" width="11.85546875" customWidth="1"/>
    <col min="6" max="6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s="1">
        <v>46023</v>
      </c>
      <c r="B2" t="s">
        <v>5</v>
      </c>
      <c r="C2" t="s">
        <v>6</v>
      </c>
      <c r="D2">
        <v>2</v>
      </c>
      <c r="E2">
        <v>529.41999999999996</v>
      </c>
    </row>
    <row r="3" spans="1:8" x14ac:dyDescent="0.25">
      <c r="A3" s="1">
        <v>46024</v>
      </c>
      <c r="B3" t="s">
        <v>7</v>
      </c>
      <c r="C3" t="s">
        <v>8</v>
      </c>
      <c r="D3">
        <v>9</v>
      </c>
      <c r="E3">
        <v>91.01</v>
      </c>
      <c r="H3" t="s">
        <v>48</v>
      </c>
    </row>
    <row r="4" spans="1:8" x14ac:dyDescent="0.25">
      <c r="A4" s="1">
        <v>46025</v>
      </c>
      <c r="B4" t="s">
        <v>9</v>
      </c>
      <c r="C4" t="s">
        <v>6</v>
      </c>
      <c r="D4">
        <v>6</v>
      </c>
      <c r="E4">
        <v>429.73</v>
      </c>
    </row>
    <row r="5" spans="1:8" x14ac:dyDescent="0.25">
      <c r="A5" s="1">
        <v>46026</v>
      </c>
      <c r="B5" t="s">
        <v>10</v>
      </c>
      <c r="C5" t="s">
        <v>11</v>
      </c>
      <c r="D5">
        <v>6</v>
      </c>
      <c r="E5">
        <v>379.57</v>
      </c>
      <c r="H5" t="s">
        <v>55</v>
      </c>
    </row>
    <row r="6" spans="1:8" x14ac:dyDescent="0.25">
      <c r="A6" s="1">
        <v>46027</v>
      </c>
      <c r="B6" t="s">
        <v>12</v>
      </c>
      <c r="C6" t="s">
        <v>13</v>
      </c>
      <c r="D6">
        <v>2</v>
      </c>
      <c r="E6">
        <v>293.79000000000002</v>
      </c>
      <c r="H6" t="s">
        <v>49</v>
      </c>
    </row>
    <row r="7" spans="1:8" x14ac:dyDescent="0.25">
      <c r="A7" s="1">
        <v>46028</v>
      </c>
      <c r="B7" t="s">
        <v>9</v>
      </c>
      <c r="C7" t="s">
        <v>6</v>
      </c>
      <c r="D7">
        <v>27</v>
      </c>
      <c r="E7">
        <v>185.49</v>
      </c>
    </row>
    <row r="8" spans="1:8" x14ac:dyDescent="0.25">
      <c r="A8" s="1">
        <v>46029</v>
      </c>
      <c r="B8" t="s">
        <v>14</v>
      </c>
      <c r="C8" t="s">
        <v>13</v>
      </c>
      <c r="D8">
        <v>52</v>
      </c>
      <c r="E8">
        <v>438.57</v>
      </c>
    </row>
    <row r="9" spans="1:8" x14ac:dyDescent="0.25">
      <c r="A9" s="1">
        <v>46030</v>
      </c>
      <c r="B9" t="s">
        <v>15</v>
      </c>
      <c r="C9" t="s">
        <v>16</v>
      </c>
      <c r="D9">
        <v>45</v>
      </c>
      <c r="E9">
        <v>691.66</v>
      </c>
    </row>
    <row r="10" spans="1:8" x14ac:dyDescent="0.25">
      <c r="A10" s="1">
        <v>46031</v>
      </c>
      <c r="B10" t="s">
        <v>17</v>
      </c>
      <c r="C10" t="s">
        <v>18</v>
      </c>
      <c r="D10">
        <v>14</v>
      </c>
      <c r="E10">
        <v>864.06</v>
      </c>
    </row>
    <row r="11" spans="1:8" x14ac:dyDescent="0.25">
      <c r="A11" s="1">
        <v>46032</v>
      </c>
      <c r="B11" t="s">
        <v>19</v>
      </c>
      <c r="C11" t="s">
        <v>18</v>
      </c>
      <c r="D11">
        <v>6</v>
      </c>
      <c r="E11">
        <v>379.14</v>
      </c>
    </row>
    <row r="12" spans="1:8" x14ac:dyDescent="0.25">
      <c r="A12" s="1">
        <v>46033</v>
      </c>
      <c r="B12" t="s">
        <v>20</v>
      </c>
      <c r="C12" t="s">
        <v>18</v>
      </c>
      <c r="D12">
        <v>39</v>
      </c>
      <c r="E12">
        <v>282.2</v>
      </c>
    </row>
    <row r="13" spans="1:8" x14ac:dyDescent="0.25">
      <c r="A13" s="1">
        <v>46034</v>
      </c>
      <c r="B13" t="s">
        <v>21</v>
      </c>
      <c r="C13" t="s">
        <v>11</v>
      </c>
      <c r="D13">
        <v>35</v>
      </c>
      <c r="E13">
        <v>281.07</v>
      </c>
    </row>
    <row r="14" spans="1:8" x14ac:dyDescent="0.25">
      <c r="A14" s="1">
        <v>46035</v>
      </c>
      <c r="B14" t="s">
        <v>22</v>
      </c>
      <c r="C14" t="s">
        <v>23</v>
      </c>
      <c r="D14">
        <v>36</v>
      </c>
      <c r="E14">
        <v>19</v>
      </c>
    </row>
    <row r="15" spans="1:8" x14ac:dyDescent="0.25">
      <c r="A15" s="1">
        <v>46036</v>
      </c>
      <c r="B15" t="s">
        <v>9</v>
      </c>
      <c r="C15" t="s">
        <v>6</v>
      </c>
      <c r="D15">
        <v>57</v>
      </c>
      <c r="E15">
        <v>608.73</v>
      </c>
    </row>
    <row r="16" spans="1:8" x14ac:dyDescent="0.25">
      <c r="A16" s="1">
        <v>46037</v>
      </c>
      <c r="B16" t="s">
        <v>24</v>
      </c>
      <c r="C16" t="s">
        <v>13</v>
      </c>
      <c r="D16">
        <v>46</v>
      </c>
      <c r="E16">
        <v>62.69</v>
      </c>
    </row>
    <row r="17" spans="1:5" x14ac:dyDescent="0.25">
      <c r="A17" s="1">
        <v>46038</v>
      </c>
      <c r="B17" t="s">
        <v>25</v>
      </c>
      <c r="C17" t="s">
        <v>6</v>
      </c>
      <c r="D17">
        <v>50</v>
      </c>
      <c r="E17">
        <v>231</v>
      </c>
    </row>
    <row r="18" spans="1:5" x14ac:dyDescent="0.25">
      <c r="A18" s="1">
        <v>46039</v>
      </c>
      <c r="B18" t="s">
        <v>26</v>
      </c>
      <c r="C18" t="s">
        <v>11</v>
      </c>
      <c r="D18">
        <v>56</v>
      </c>
      <c r="E18">
        <v>256.05</v>
      </c>
    </row>
    <row r="19" spans="1:5" x14ac:dyDescent="0.25">
      <c r="A19" s="1">
        <v>46040</v>
      </c>
      <c r="B19" t="s">
        <v>27</v>
      </c>
      <c r="C19" t="s">
        <v>18</v>
      </c>
      <c r="D19">
        <v>41</v>
      </c>
      <c r="E19">
        <v>760.65</v>
      </c>
    </row>
    <row r="20" spans="1:5" x14ac:dyDescent="0.25">
      <c r="A20" s="1">
        <v>46041</v>
      </c>
      <c r="B20" t="s">
        <v>28</v>
      </c>
      <c r="C20" t="s">
        <v>8</v>
      </c>
      <c r="D20">
        <v>23</v>
      </c>
      <c r="E20">
        <v>33.049999999999997</v>
      </c>
    </row>
    <row r="21" spans="1:5" x14ac:dyDescent="0.25">
      <c r="A21" s="1">
        <v>46042</v>
      </c>
      <c r="B21" t="s">
        <v>19</v>
      </c>
      <c r="C21" t="s">
        <v>18</v>
      </c>
      <c r="D21">
        <v>39</v>
      </c>
      <c r="E21">
        <v>593.38</v>
      </c>
    </row>
    <row r="22" spans="1:5" x14ac:dyDescent="0.25">
      <c r="A22" s="1">
        <v>46043</v>
      </c>
      <c r="B22" t="s">
        <v>24</v>
      </c>
      <c r="C22" t="s">
        <v>13</v>
      </c>
      <c r="D22">
        <v>11</v>
      </c>
      <c r="E22">
        <v>247.26</v>
      </c>
    </row>
    <row r="23" spans="1:5" x14ac:dyDescent="0.25">
      <c r="A23" s="1">
        <v>46044</v>
      </c>
      <c r="B23" t="s">
        <v>29</v>
      </c>
      <c r="C23" t="s">
        <v>18</v>
      </c>
      <c r="D23">
        <v>15</v>
      </c>
      <c r="E23">
        <v>635.08000000000004</v>
      </c>
    </row>
    <row r="24" spans="1:5" x14ac:dyDescent="0.25">
      <c r="A24" s="1">
        <v>46045</v>
      </c>
      <c r="B24" t="s">
        <v>30</v>
      </c>
      <c r="C24" t="s">
        <v>16</v>
      </c>
      <c r="D24">
        <v>15</v>
      </c>
      <c r="E24">
        <v>1250.52</v>
      </c>
    </row>
    <row r="25" spans="1:5" x14ac:dyDescent="0.25">
      <c r="A25" s="1">
        <v>46046</v>
      </c>
      <c r="B25" t="s">
        <v>31</v>
      </c>
      <c r="C25" t="s">
        <v>16</v>
      </c>
      <c r="D25">
        <v>26</v>
      </c>
      <c r="E25">
        <v>474.84</v>
      </c>
    </row>
    <row r="26" spans="1:5" x14ac:dyDescent="0.25">
      <c r="A26" s="1">
        <v>46047</v>
      </c>
      <c r="B26" t="s">
        <v>32</v>
      </c>
      <c r="C26" t="s">
        <v>8</v>
      </c>
      <c r="D26">
        <v>57</v>
      </c>
      <c r="E26">
        <v>88.97</v>
      </c>
    </row>
    <row r="27" spans="1:5" x14ac:dyDescent="0.25">
      <c r="A27" s="1">
        <v>46048</v>
      </c>
      <c r="B27" t="s">
        <v>33</v>
      </c>
      <c r="C27" t="s">
        <v>8</v>
      </c>
      <c r="D27">
        <v>26</v>
      </c>
      <c r="E27">
        <v>107.32</v>
      </c>
    </row>
    <row r="28" spans="1:5" x14ac:dyDescent="0.25">
      <c r="A28" s="1">
        <v>46049</v>
      </c>
      <c r="B28" t="s">
        <v>34</v>
      </c>
      <c r="C28" t="s">
        <v>6</v>
      </c>
      <c r="D28">
        <v>10</v>
      </c>
      <c r="E28">
        <v>214.82</v>
      </c>
    </row>
    <row r="29" spans="1:5" x14ac:dyDescent="0.25">
      <c r="A29" s="1">
        <v>46050</v>
      </c>
      <c r="B29" t="s">
        <v>32</v>
      </c>
      <c r="C29" t="s">
        <v>8</v>
      </c>
      <c r="D29">
        <v>35</v>
      </c>
      <c r="E29">
        <v>38.9</v>
      </c>
    </row>
    <row r="30" spans="1:5" x14ac:dyDescent="0.25">
      <c r="A30" s="1">
        <v>46051</v>
      </c>
      <c r="B30" t="s">
        <v>35</v>
      </c>
      <c r="C30" t="s">
        <v>13</v>
      </c>
      <c r="D30">
        <v>58</v>
      </c>
      <c r="E30">
        <v>304.26</v>
      </c>
    </row>
    <row r="31" spans="1:5" x14ac:dyDescent="0.25">
      <c r="A31" s="1">
        <v>46052</v>
      </c>
      <c r="B31" t="s">
        <v>17</v>
      </c>
      <c r="C31" t="s">
        <v>18</v>
      </c>
      <c r="D31">
        <v>9</v>
      </c>
      <c r="E31">
        <v>488</v>
      </c>
    </row>
    <row r="32" spans="1:5" x14ac:dyDescent="0.25">
      <c r="A32" s="1">
        <v>46053</v>
      </c>
      <c r="B32" t="s">
        <v>10</v>
      </c>
      <c r="C32" t="s">
        <v>11</v>
      </c>
      <c r="D32">
        <v>56</v>
      </c>
      <c r="E32">
        <v>265.13</v>
      </c>
    </row>
    <row r="33" spans="1:5" x14ac:dyDescent="0.25">
      <c r="A33" s="1">
        <v>46054</v>
      </c>
      <c r="B33" t="s">
        <v>25</v>
      </c>
      <c r="C33" t="s">
        <v>6</v>
      </c>
      <c r="D33">
        <v>51</v>
      </c>
      <c r="E33">
        <v>489.12</v>
      </c>
    </row>
    <row r="34" spans="1:5" x14ac:dyDescent="0.25">
      <c r="A34" s="1">
        <v>46055</v>
      </c>
      <c r="B34" t="s">
        <v>36</v>
      </c>
      <c r="C34" t="s">
        <v>13</v>
      </c>
      <c r="D34">
        <v>25</v>
      </c>
      <c r="E34">
        <v>209.36</v>
      </c>
    </row>
    <row r="35" spans="1:5" x14ac:dyDescent="0.25">
      <c r="A35" s="1">
        <v>46056</v>
      </c>
      <c r="B35" t="s">
        <v>37</v>
      </c>
      <c r="C35" t="s">
        <v>23</v>
      </c>
      <c r="D35">
        <v>17</v>
      </c>
      <c r="E35">
        <v>58.32</v>
      </c>
    </row>
    <row r="36" spans="1:5" x14ac:dyDescent="0.25">
      <c r="A36" s="1">
        <v>46057</v>
      </c>
      <c r="B36" t="s">
        <v>30</v>
      </c>
      <c r="C36" t="s">
        <v>16</v>
      </c>
      <c r="D36">
        <v>44</v>
      </c>
      <c r="E36">
        <v>1109.01</v>
      </c>
    </row>
    <row r="37" spans="1:5" x14ac:dyDescent="0.25">
      <c r="A37" s="1">
        <v>46058</v>
      </c>
      <c r="B37" t="s">
        <v>9</v>
      </c>
      <c r="C37" t="s">
        <v>6</v>
      </c>
      <c r="D37">
        <v>49</v>
      </c>
      <c r="E37">
        <v>216.1</v>
      </c>
    </row>
    <row r="38" spans="1:5" x14ac:dyDescent="0.25">
      <c r="A38" s="1">
        <v>46059</v>
      </c>
      <c r="B38" t="s">
        <v>38</v>
      </c>
      <c r="C38" t="s">
        <v>6</v>
      </c>
      <c r="D38">
        <v>8</v>
      </c>
      <c r="E38">
        <v>233.71</v>
      </c>
    </row>
    <row r="39" spans="1:5" x14ac:dyDescent="0.25">
      <c r="A39" s="1">
        <v>46060</v>
      </c>
      <c r="B39" t="s">
        <v>33</v>
      </c>
      <c r="C39" t="s">
        <v>8</v>
      </c>
      <c r="D39">
        <v>1</v>
      </c>
      <c r="E39">
        <v>114.92</v>
      </c>
    </row>
    <row r="40" spans="1:5" x14ac:dyDescent="0.25">
      <c r="A40" s="1">
        <v>46061</v>
      </c>
      <c r="B40" t="s">
        <v>38</v>
      </c>
      <c r="C40" t="s">
        <v>6</v>
      </c>
      <c r="D40">
        <v>33</v>
      </c>
      <c r="E40">
        <v>542.9</v>
      </c>
    </row>
    <row r="41" spans="1:5" x14ac:dyDescent="0.25">
      <c r="A41" s="1">
        <v>46062</v>
      </c>
      <c r="B41" t="s">
        <v>36</v>
      </c>
      <c r="C41" t="s">
        <v>13</v>
      </c>
      <c r="D41">
        <v>56</v>
      </c>
      <c r="E41">
        <v>323.89</v>
      </c>
    </row>
    <row r="42" spans="1:5" x14ac:dyDescent="0.25">
      <c r="A42" s="1">
        <v>46063</v>
      </c>
      <c r="B42" t="s">
        <v>39</v>
      </c>
      <c r="C42" t="s">
        <v>16</v>
      </c>
      <c r="D42">
        <v>39</v>
      </c>
      <c r="E42">
        <v>378.48</v>
      </c>
    </row>
    <row r="43" spans="1:5" x14ac:dyDescent="0.25">
      <c r="A43" s="1">
        <v>46064</v>
      </c>
      <c r="B43" t="s">
        <v>17</v>
      </c>
      <c r="C43" t="s">
        <v>18</v>
      </c>
      <c r="D43">
        <v>35</v>
      </c>
      <c r="E43">
        <v>860.94</v>
      </c>
    </row>
    <row r="44" spans="1:5" x14ac:dyDescent="0.25">
      <c r="A44" s="1">
        <v>46065</v>
      </c>
      <c r="B44" t="s">
        <v>36</v>
      </c>
      <c r="C44" t="s">
        <v>13</v>
      </c>
      <c r="D44">
        <v>39</v>
      </c>
      <c r="E44">
        <v>182.35</v>
      </c>
    </row>
    <row r="45" spans="1:5" x14ac:dyDescent="0.25">
      <c r="A45" s="1">
        <v>46066</v>
      </c>
      <c r="B45" t="s">
        <v>10</v>
      </c>
      <c r="C45" t="s">
        <v>11</v>
      </c>
      <c r="D45">
        <v>60</v>
      </c>
      <c r="E45">
        <v>531.13</v>
      </c>
    </row>
    <row r="46" spans="1:5" x14ac:dyDescent="0.25">
      <c r="A46" s="1">
        <v>46067</v>
      </c>
      <c r="B46" t="s">
        <v>31</v>
      </c>
      <c r="C46" t="s">
        <v>16</v>
      </c>
      <c r="D46">
        <v>16</v>
      </c>
      <c r="E46">
        <v>181.1</v>
      </c>
    </row>
    <row r="47" spans="1:5" x14ac:dyDescent="0.25">
      <c r="A47" s="1">
        <v>46068</v>
      </c>
      <c r="B47" t="s">
        <v>36</v>
      </c>
      <c r="C47" t="s">
        <v>13</v>
      </c>
      <c r="D47">
        <v>6</v>
      </c>
      <c r="E47">
        <v>374</v>
      </c>
    </row>
    <row r="48" spans="1:5" x14ac:dyDescent="0.25">
      <c r="A48" s="1">
        <v>46069</v>
      </c>
      <c r="B48" t="s">
        <v>30</v>
      </c>
      <c r="C48" t="s">
        <v>16</v>
      </c>
      <c r="D48">
        <v>49</v>
      </c>
      <c r="E48">
        <v>845.79</v>
      </c>
    </row>
    <row r="49" spans="1:5" x14ac:dyDescent="0.25">
      <c r="A49" s="1">
        <v>46070</v>
      </c>
      <c r="B49" t="s">
        <v>7</v>
      </c>
      <c r="C49" t="s">
        <v>8</v>
      </c>
      <c r="D49">
        <v>43</v>
      </c>
      <c r="E49">
        <v>62.28</v>
      </c>
    </row>
    <row r="50" spans="1:5" x14ac:dyDescent="0.25">
      <c r="A50" s="1">
        <v>46071</v>
      </c>
      <c r="B50" t="s">
        <v>24</v>
      </c>
      <c r="C50" t="s">
        <v>13</v>
      </c>
      <c r="D50">
        <v>17</v>
      </c>
      <c r="E50">
        <v>278.01</v>
      </c>
    </row>
    <row r="51" spans="1:5" x14ac:dyDescent="0.25">
      <c r="A51" s="1">
        <v>46072</v>
      </c>
      <c r="B51" t="s">
        <v>35</v>
      </c>
      <c r="C51" t="s">
        <v>13</v>
      </c>
      <c r="D51">
        <v>14</v>
      </c>
      <c r="E51">
        <v>466.59</v>
      </c>
    </row>
    <row r="52" spans="1:5" x14ac:dyDescent="0.25">
      <c r="A52" s="1">
        <v>46073</v>
      </c>
      <c r="B52" t="s">
        <v>15</v>
      </c>
      <c r="C52" t="s">
        <v>16</v>
      </c>
      <c r="D52">
        <v>46</v>
      </c>
      <c r="E52">
        <v>536.4</v>
      </c>
    </row>
    <row r="53" spans="1:5" x14ac:dyDescent="0.25">
      <c r="A53" s="1">
        <v>46074</v>
      </c>
      <c r="B53" t="s">
        <v>38</v>
      </c>
      <c r="C53" t="s">
        <v>6</v>
      </c>
      <c r="D53">
        <v>29</v>
      </c>
      <c r="E53">
        <v>633.75</v>
      </c>
    </row>
    <row r="54" spans="1:5" x14ac:dyDescent="0.25">
      <c r="A54" s="1">
        <v>46075</v>
      </c>
      <c r="B54" t="s">
        <v>22</v>
      </c>
      <c r="C54" t="s">
        <v>23</v>
      </c>
      <c r="D54">
        <v>16</v>
      </c>
      <c r="E54">
        <v>15.03</v>
      </c>
    </row>
    <row r="55" spans="1:5" x14ac:dyDescent="0.25">
      <c r="A55" s="1">
        <v>46076</v>
      </c>
      <c r="B55" t="s">
        <v>19</v>
      </c>
      <c r="C55" t="s">
        <v>18</v>
      </c>
      <c r="D55">
        <v>38</v>
      </c>
      <c r="E55">
        <v>525.29</v>
      </c>
    </row>
    <row r="56" spans="1:5" x14ac:dyDescent="0.25">
      <c r="A56" s="1">
        <v>46077</v>
      </c>
      <c r="B56" t="s">
        <v>24</v>
      </c>
      <c r="C56" t="s">
        <v>13</v>
      </c>
      <c r="D56">
        <v>1</v>
      </c>
      <c r="E56">
        <v>63.37</v>
      </c>
    </row>
    <row r="57" spans="1:5" x14ac:dyDescent="0.25">
      <c r="A57" s="1">
        <v>46078</v>
      </c>
      <c r="B57" t="s">
        <v>5</v>
      </c>
      <c r="C57" t="s">
        <v>6</v>
      </c>
      <c r="D57">
        <v>15</v>
      </c>
      <c r="E57">
        <v>84.48</v>
      </c>
    </row>
    <row r="58" spans="1:5" x14ac:dyDescent="0.25">
      <c r="A58" s="1">
        <v>46079</v>
      </c>
      <c r="B58" t="s">
        <v>40</v>
      </c>
      <c r="C58" t="s">
        <v>11</v>
      </c>
      <c r="D58">
        <v>5</v>
      </c>
      <c r="E58">
        <v>689.86</v>
      </c>
    </row>
    <row r="59" spans="1:5" x14ac:dyDescent="0.25">
      <c r="A59" s="1">
        <v>46080</v>
      </c>
      <c r="B59" t="s">
        <v>27</v>
      </c>
      <c r="C59" t="s">
        <v>18</v>
      </c>
      <c r="D59">
        <v>14</v>
      </c>
      <c r="E59">
        <v>512.96</v>
      </c>
    </row>
    <row r="60" spans="1:5" x14ac:dyDescent="0.25">
      <c r="A60" s="1">
        <v>46081</v>
      </c>
      <c r="B60" t="s">
        <v>9</v>
      </c>
      <c r="C60" t="s">
        <v>6</v>
      </c>
      <c r="D60">
        <v>37</v>
      </c>
      <c r="E60">
        <v>351.96</v>
      </c>
    </row>
    <row r="61" spans="1:5" x14ac:dyDescent="0.25">
      <c r="A61" s="1">
        <v>46082</v>
      </c>
      <c r="B61" t="s">
        <v>41</v>
      </c>
      <c r="C61" t="s">
        <v>16</v>
      </c>
      <c r="D61">
        <v>52</v>
      </c>
      <c r="E61">
        <v>669.88</v>
      </c>
    </row>
    <row r="62" spans="1:5" x14ac:dyDescent="0.25">
      <c r="A62" s="1">
        <v>46083</v>
      </c>
      <c r="B62" t="s">
        <v>10</v>
      </c>
      <c r="C62" t="s">
        <v>11</v>
      </c>
      <c r="D62">
        <v>43</v>
      </c>
      <c r="E62">
        <v>602.6</v>
      </c>
    </row>
    <row r="63" spans="1:5" x14ac:dyDescent="0.25">
      <c r="A63" s="1">
        <v>46084</v>
      </c>
      <c r="B63" t="s">
        <v>42</v>
      </c>
      <c r="C63" t="s">
        <v>23</v>
      </c>
      <c r="D63">
        <v>30</v>
      </c>
      <c r="E63">
        <v>52.1</v>
      </c>
    </row>
    <row r="64" spans="1:5" x14ac:dyDescent="0.25">
      <c r="A64" s="1">
        <v>46085</v>
      </c>
      <c r="B64" t="s">
        <v>10</v>
      </c>
      <c r="C64" t="s">
        <v>11</v>
      </c>
      <c r="D64">
        <v>4</v>
      </c>
      <c r="E64">
        <v>572.75</v>
      </c>
    </row>
    <row r="65" spans="1:5" x14ac:dyDescent="0.25">
      <c r="A65" s="1">
        <v>46086</v>
      </c>
      <c r="B65" t="s">
        <v>19</v>
      </c>
      <c r="C65" t="s">
        <v>18</v>
      </c>
      <c r="D65">
        <v>16</v>
      </c>
      <c r="E65">
        <v>220.94</v>
      </c>
    </row>
    <row r="66" spans="1:5" x14ac:dyDescent="0.25">
      <c r="A66" s="1">
        <v>46087</v>
      </c>
      <c r="B66" t="s">
        <v>35</v>
      </c>
      <c r="C66" t="s">
        <v>13</v>
      </c>
      <c r="D66">
        <v>9</v>
      </c>
      <c r="E66">
        <v>228.28</v>
      </c>
    </row>
    <row r="67" spans="1:5" x14ac:dyDescent="0.25">
      <c r="A67" s="1">
        <v>46088</v>
      </c>
      <c r="B67" t="s">
        <v>27</v>
      </c>
      <c r="C67" t="s">
        <v>18</v>
      </c>
      <c r="D67">
        <v>16</v>
      </c>
      <c r="E67">
        <v>794.57</v>
      </c>
    </row>
    <row r="68" spans="1:5" x14ac:dyDescent="0.25">
      <c r="A68" s="1">
        <v>46089</v>
      </c>
      <c r="B68" t="s">
        <v>21</v>
      </c>
      <c r="C68" t="s">
        <v>11</v>
      </c>
      <c r="D68">
        <v>52</v>
      </c>
      <c r="E68">
        <v>1054.42</v>
      </c>
    </row>
    <row r="69" spans="1:5" x14ac:dyDescent="0.25">
      <c r="A69" s="1">
        <v>46090</v>
      </c>
      <c r="B69" t="s">
        <v>36</v>
      </c>
      <c r="C69" t="s">
        <v>13</v>
      </c>
      <c r="D69">
        <v>4</v>
      </c>
      <c r="E69">
        <v>336.51</v>
      </c>
    </row>
    <row r="70" spans="1:5" x14ac:dyDescent="0.25">
      <c r="A70" s="1">
        <v>46091</v>
      </c>
      <c r="B70" t="s">
        <v>36</v>
      </c>
      <c r="C70" t="s">
        <v>13</v>
      </c>
      <c r="D70">
        <v>6</v>
      </c>
      <c r="E70">
        <v>465.39</v>
      </c>
    </row>
    <row r="71" spans="1:5" x14ac:dyDescent="0.25">
      <c r="A71" s="1">
        <v>46092</v>
      </c>
      <c r="B71" t="s">
        <v>15</v>
      </c>
      <c r="C71" t="s">
        <v>16</v>
      </c>
      <c r="D71">
        <v>11</v>
      </c>
      <c r="E71">
        <v>668.98</v>
      </c>
    </row>
    <row r="72" spans="1:5" x14ac:dyDescent="0.25">
      <c r="A72" s="1">
        <v>46093</v>
      </c>
      <c r="B72" t="s">
        <v>43</v>
      </c>
      <c r="C72" t="s">
        <v>23</v>
      </c>
      <c r="D72">
        <v>56</v>
      </c>
      <c r="E72">
        <v>25.26</v>
      </c>
    </row>
    <row r="73" spans="1:5" x14ac:dyDescent="0.25">
      <c r="A73" s="1">
        <v>46094</v>
      </c>
      <c r="B73" t="s">
        <v>26</v>
      </c>
      <c r="C73" t="s">
        <v>11</v>
      </c>
      <c r="D73">
        <v>25</v>
      </c>
      <c r="E73">
        <v>152.26</v>
      </c>
    </row>
    <row r="74" spans="1:5" x14ac:dyDescent="0.25">
      <c r="A74" s="1">
        <v>46095</v>
      </c>
      <c r="B74" t="s">
        <v>44</v>
      </c>
      <c r="C74" t="s">
        <v>23</v>
      </c>
      <c r="D74">
        <v>60</v>
      </c>
      <c r="E74">
        <v>47.48</v>
      </c>
    </row>
    <row r="75" spans="1:5" x14ac:dyDescent="0.25">
      <c r="A75" s="1">
        <v>46096</v>
      </c>
      <c r="B75" t="s">
        <v>44</v>
      </c>
      <c r="C75" t="s">
        <v>23</v>
      </c>
      <c r="D75">
        <v>28</v>
      </c>
      <c r="E75">
        <v>42.4</v>
      </c>
    </row>
    <row r="76" spans="1:5" x14ac:dyDescent="0.25">
      <c r="A76" s="1">
        <v>46097</v>
      </c>
      <c r="B76" t="s">
        <v>9</v>
      </c>
      <c r="C76" t="s">
        <v>6</v>
      </c>
      <c r="D76">
        <v>43</v>
      </c>
      <c r="E76">
        <v>514.15</v>
      </c>
    </row>
    <row r="77" spans="1:5" x14ac:dyDescent="0.25">
      <c r="A77" s="1">
        <v>46098</v>
      </c>
      <c r="B77" t="s">
        <v>7</v>
      </c>
      <c r="C77" t="s">
        <v>8</v>
      </c>
      <c r="D77">
        <v>19</v>
      </c>
      <c r="E77">
        <v>33.950000000000003</v>
      </c>
    </row>
    <row r="78" spans="1:5" x14ac:dyDescent="0.25">
      <c r="A78" s="1">
        <v>46099</v>
      </c>
      <c r="B78" t="s">
        <v>45</v>
      </c>
      <c r="C78" t="s">
        <v>11</v>
      </c>
      <c r="D78">
        <v>48</v>
      </c>
      <c r="E78">
        <v>719.3</v>
      </c>
    </row>
    <row r="79" spans="1:5" x14ac:dyDescent="0.25">
      <c r="A79" s="1">
        <v>46100</v>
      </c>
      <c r="B79" t="s">
        <v>38</v>
      </c>
      <c r="C79" t="s">
        <v>6</v>
      </c>
      <c r="D79">
        <v>4</v>
      </c>
      <c r="E79">
        <v>73.09</v>
      </c>
    </row>
    <row r="80" spans="1:5" x14ac:dyDescent="0.25">
      <c r="A80" s="1">
        <v>46101</v>
      </c>
      <c r="B80" t="s">
        <v>37</v>
      </c>
      <c r="C80" t="s">
        <v>23</v>
      </c>
      <c r="D80">
        <v>59</v>
      </c>
      <c r="E80">
        <v>51.46</v>
      </c>
    </row>
    <row r="81" spans="1:5" x14ac:dyDescent="0.25">
      <c r="A81" s="1">
        <v>46102</v>
      </c>
      <c r="B81" t="s">
        <v>46</v>
      </c>
      <c r="C81" t="s">
        <v>8</v>
      </c>
      <c r="D81">
        <v>33</v>
      </c>
      <c r="E81">
        <v>18.809999999999999</v>
      </c>
    </row>
    <row r="82" spans="1:5" x14ac:dyDescent="0.25">
      <c r="A82" s="1">
        <v>46103</v>
      </c>
      <c r="B82" t="s">
        <v>46</v>
      </c>
      <c r="C82" t="s">
        <v>8</v>
      </c>
      <c r="D82">
        <v>39</v>
      </c>
      <c r="E82">
        <v>17.48</v>
      </c>
    </row>
    <row r="83" spans="1:5" x14ac:dyDescent="0.25">
      <c r="A83" s="1">
        <v>46104</v>
      </c>
      <c r="B83" t="s">
        <v>15</v>
      </c>
      <c r="C83" t="s">
        <v>16</v>
      </c>
      <c r="D83">
        <v>26</v>
      </c>
      <c r="E83">
        <v>267.83999999999997</v>
      </c>
    </row>
    <row r="84" spans="1:5" x14ac:dyDescent="0.25">
      <c r="A84" s="1">
        <v>46105</v>
      </c>
      <c r="B84" t="s">
        <v>24</v>
      </c>
      <c r="C84" t="s">
        <v>13</v>
      </c>
      <c r="D84">
        <v>38</v>
      </c>
      <c r="E84">
        <v>309.42</v>
      </c>
    </row>
    <row r="85" spans="1:5" x14ac:dyDescent="0.25">
      <c r="A85" s="1">
        <v>46106</v>
      </c>
      <c r="B85" t="s">
        <v>36</v>
      </c>
      <c r="C85" t="s">
        <v>13</v>
      </c>
      <c r="D85">
        <v>27</v>
      </c>
      <c r="E85">
        <v>338.97</v>
      </c>
    </row>
    <row r="86" spans="1:5" x14ac:dyDescent="0.25">
      <c r="A86" s="1">
        <v>46107</v>
      </c>
      <c r="B86" t="s">
        <v>12</v>
      </c>
      <c r="C86" t="s">
        <v>13</v>
      </c>
      <c r="D86">
        <v>21</v>
      </c>
      <c r="E86">
        <v>469.31</v>
      </c>
    </row>
    <row r="87" spans="1:5" x14ac:dyDescent="0.25">
      <c r="A87" s="1">
        <v>46108</v>
      </c>
      <c r="B87" t="s">
        <v>28</v>
      </c>
      <c r="C87" t="s">
        <v>8</v>
      </c>
      <c r="D87">
        <v>16</v>
      </c>
      <c r="E87">
        <v>39.22</v>
      </c>
    </row>
    <row r="88" spans="1:5" x14ac:dyDescent="0.25">
      <c r="A88" s="1">
        <v>46109</v>
      </c>
      <c r="B88" t="s">
        <v>28</v>
      </c>
      <c r="C88" t="s">
        <v>8</v>
      </c>
      <c r="D88">
        <v>30</v>
      </c>
      <c r="E88">
        <v>44.78</v>
      </c>
    </row>
    <row r="89" spans="1:5" x14ac:dyDescent="0.25">
      <c r="A89" s="1">
        <v>46110</v>
      </c>
      <c r="B89" t="s">
        <v>30</v>
      </c>
      <c r="C89" t="s">
        <v>16</v>
      </c>
      <c r="D89">
        <v>1</v>
      </c>
      <c r="E89">
        <v>741.6</v>
      </c>
    </row>
    <row r="90" spans="1:5" x14ac:dyDescent="0.25">
      <c r="A90" s="1">
        <v>46111</v>
      </c>
      <c r="B90" t="s">
        <v>36</v>
      </c>
      <c r="C90" t="s">
        <v>13</v>
      </c>
      <c r="D90">
        <v>5</v>
      </c>
      <c r="E90">
        <v>282.69</v>
      </c>
    </row>
    <row r="91" spans="1:5" x14ac:dyDescent="0.25">
      <c r="A91" s="1">
        <v>46112</v>
      </c>
      <c r="B91" t="s">
        <v>14</v>
      </c>
      <c r="C91" t="s">
        <v>13</v>
      </c>
      <c r="D91">
        <v>9</v>
      </c>
      <c r="E91">
        <v>468.63</v>
      </c>
    </row>
    <row r="92" spans="1:5" x14ac:dyDescent="0.25">
      <c r="A92" s="1">
        <v>46113</v>
      </c>
      <c r="B92" t="s">
        <v>26</v>
      </c>
      <c r="C92" t="s">
        <v>11</v>
      </c>
      <c r="D92">
        <v>24</v>
      </c>
      <c r="E92">
        <v>449.24</v>
      </c>
    </row>
    <row r="93" spans="1:5" x14ac:dyDescent="0.25">
      <c r="A93" s="1">
        <v>46114</v>
      </c>
      <c r="B93" t="s">
        <v>37</v>
      </c>
      <c r="C93" t="s">
        <v>23</v>
      </c>
      <c r="D93">
        <v>46</v>
      </c>
      <c r="E93">
        <v>19.55</v>
      </c>
    </row>
    <row r="94" spans="1:5" x14ac:dyDescent="0.25">
      <c r="A94" s="1">
        <v>46115</v>
      </c>
      <c r="B94" t="s">
        <v>39</v>
      </c>
      <c r="C94" t="s">
        <v>16</v>
      </c>
      <c r="D94">
        <v>1</v>
      </c>
      <c r="E94">
        <v>1035.01</v>
      </c>
    </row>
    <row r="95" spans="1:5" x14ac:dyDescent="0.25">
      <c r="A95" s="1">
        <v>46116</v>
      </c>
      <c r="B95" t="s">
        <v>14</v>
      </c>
      <c r="C95" t="s">
        <v>13</v>
      </c>
      <c r="D95">
        <v>60</v>
      </c>
      <c r="E95">
        <v>341.79</v>
      </c>
    </row>
    <row r="96" spans="1:5" x14ac:dyDescent="0.25">
      <c r="A96" s="1">
        <v>46117</v>
      </c>
      <c r="B96" t="s">
        <v>28</v>
      </c>
      <c r="C96" t="s">
        <v>8</v>
      </c>
      <c r="D96">
        <v>8</v>
      </c>
      <c r="E96">
        <v>107.87</v>
      </c>
    </row>
    <row r="97" spans="1:5" x14ac:dyDescent="0.25">
      <c r="A97" s="1">
        <v>46118</v>
      </c>
      <c r="B97" t="s">
        <v>9</v>
      </c>
      <c r="C97" t="s">
        <v>6</v>
      </c>
      <c r="D97">
        <v>10</v>
      </c>
      <c r="E97">
        <v>219.75</v>
      </c>
    </row>
    <row r="98" spans="1:5" x14ac:dyDescent="0.25">
      <c r="A98" s="1">
        <v>46119</v>
      </c>
      <c r="B98" t="s">
        <v>24</v>
      </c>
      <c r="C98" t="s">
        <v>13</v>
      </c>
      <c r="D98">
        <v>46</v>
      </c>
      <c r="E98">
        <v>191.15</v>
      </c>
    </row>
    <row r="99" spans="1:5" x14ac:dyDescent="0.25">
      <c r="A99" s="1">
        <v>46120</v>
      </c>
      <c r="B99" t="s">
        <v>38</v>
      </c>
      <c r="C99" t="s">
        <v>6</v>
      </c>
      <c r="D99">
        <v>33</v>
      </c>
      <c r="E99">
        <v>362.43</v>
      </c>
    </row>
    <row r="100" spans="1:5" x14ac:dyDescent="0.25">
      <c r="A100" s="1">
        <v>46121</v>
      </c>
      <c r="B100" t="s">
        <v>30</v>
      </c>
      <c r="C100" t="s">
        <v>16</v>
      </c>
      <c r="D100">
        <v>6</v>
      </c>
      <c r="E100">
        <v>988</v>
      </c>
    </row>
    <row r="101" spans="1:5" x14ac:dyDescent="0.25">
      <c r="A101" s="1">
        <v>46122</v>
      </c>
      <c r="B101" t="s">
        <v>31</v>
      </c>
      <c r="C101" t="s">
        <v>16</v>
      </c>
      <c r="D101">
        <v>3</v>
      </c>
      <c r="E101">
        <v>104.96</v>
      </c>
    </row>
    <row r="102" spans="1:5" x14ac:dyDescent="0.25">
      <c r="A102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D217-A43F-4DF1-A74E-96AE2E76A2E9}">
  <dimension ref="B2:K102"/>
  <sheetViews>
    <sheetView topLeftCell="A2" workbookViewId="0">
      <pane ySplit="1" topLeftCell="A3" activePane="bottomLeft" state="frozen"/>
      <selection activeCell="A2" sqref="A2"/>
      <selection pane="bottomLeft" activeCell="I6" sqref="I6"/>
    </sheetView>
  </sheetViews>
  <sheetFormatPr defaultRowHeight="15" x14ac:dyDescent="0.25"/>
  <cols>
    <col min="3" max="3" width="10.140625" customWidth="1"/>
    <col min="4" max="4" width="11.5703125" bestFit="1" customWidth="1"/>
    <col min="5" max="5" width="10.85546875" customWidth="1"/>
    <col min="6" max="6" width="11.85546875" customWidth="1"/>
    <col min="7" max="7" width="11.28515625" bestFit="1" customWidth="1"/>
  </cols>
  <sheetData>
    <row r="2" spans="2:11" ht="21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56</v>
      </c>
      <c r="K2" s="2"/>
    </row>
    <row r="3" spans="2:11" x14ac:dyDescent="0.25">
      <c r="B3" s="1">
        <v>46089</v>
      </c>
      <c r="C3" t="s">
        <v>21</v>
      </c>
      <c r="D3" t="s">
        <v>11</v>
      </c>
      <c r="E3">
        <v>52</v>
      </c>
      <c r="F3">
        <v>1054.42</v>
      </c>
      <c r="G3">
        <f>Table2[[#This Row],[Quantity]]*Table2[[#This Row],[Unit Price]]</f>
        <v>54829.840000000004</v>
      </c>
      <c r="K3" t="s">
        <v>48</v>
      </c>
    </row>
    <row r="4" spans="2:11" x14ac:dyDescent="0.25">
      <c r="B4" s="1">
        <v>46057</v>
      </c>
      <c r="C4" t="s">
        <v>30</v>
      </c>
      <c r="D4" t="s">
        <v>16</v>
      </c>
      <c r="E4">
        <v>44</v>
      </c>
      <c r="F4">
        <v>1109.01</v>
      </c>
      <c r="G4">
        <f>Table2[[#This Row],[Quantity]]*Table2[[#This Row],[Unit Price]]</f>
        <v>48796.44</v>
      </c>
    </row>
    <row r="5" spans="2:11" x14ac:dyDescent="0.25">
      <c r="B5" s="1">
        <v>46069</v>
      </c>
      <c r="C5" t="s">
        <v>30</v>
      </c>
      <c r="D5" t="s">
        <v>16</v>
      </c>
      <c r="E5">
        <v>49</v>
      </c>
      <c r="F5">
        <v>845.79</v>
      </c>
      <c r="G5">
        <f>Table2[[#This Row],[Quantity]]*Table2[[#This Row],[Unit Price]]</f>
        <v>41443.71</v>
      </c>
      <c r="K5" t="s">
        <v>50</v>
      </c>
    </row>
    <row r="6" spans="2:11" x14ac:dyDescent="0.25">
      <c r="B6" s="1">
        <v>46082</v>
      </c>
      <c r="C6" t="s">
        <v>41</v>
      </c>
      <c r="D6" t="s">
        <v>16</v>
      </c>
      <c r="E6">
        <v>52</v>
      </c>
      <c r="F6">
        <v>669.88</v>
      </c>
      <c r="G6">
        <f>Table2[[#This Row],[Quantity]]*Table2[[#This Row],[Unit Price]]</f>
        <v>34833.760000000002</v>
      </c>
      <c r="K6" t="s">
        <v>51</v>
      </c>
    </row>
    <row r="7" spans="2:11" x14ac:dyDescent="0.25">
      <c r="B7" s="1">
        <v>46036</v>
      </c>
      <c r="C7" t="s">
        <v>9</v>
      </c>
      <c r="D7" t="s">
        <v>6</v>
      </c>
      <c r="E7">
        <v>57</v>
      </c>
      <c r="F7">
        <v>608.73</v>
      </c>
      <c r="G7">
        <f>Table2[[#This Row],[Quantity]]*Table2[[#This Row],[Unit Price]]</f>
        <v>34697.61</v>
      </c>
      <c r="K7" t="s">
        <v>52</v>
      </c>
    </row>
    <row r="8" spans="2:11" x14ac:dyDescent="0.25">
      <c r="B8" s="1">
        <v>46099</v>
      </c>
      <c r="C8" t="s">
        <v>45</v>
      </c>
      <c r="D8" t="s">
        <v>11</v>
      </c>
      <c r="E8">
        <v>48</v>
      </c>
      <c r="F8">
        <v>719.3</v>
      </c>
      <c r="G8">
        <f>Table2[[#This Row],[Quantity]]*Table2[[#This Row],[Unit Price]]</f>
        <v>34526.399999999994</v>
      </c>
    </row>
    <row r="9" spans="2:11" x14ac:dyDescent="0.25">
      <c r="B9" s="1">
        <v>46066</v>
      </c>
      <c r="C9" t="s">
        <v>10</v>
      </c>
      <c r="D9" t="s">
        <v>11</v>
      </c>
      <c r="E9">
        <v>60</v>
      </c>
      <c r="F9">
        <v>531.13</v>
      </c>
      <c r="G9">
        <f>Table2[[#This Row],[Quantity]]*Table2[[#This Row],[Unit Price]]</f>
        <v>31867.8</v>
      </c>
    </row>
    <row r="10" spans="2:11" x14ac:dyDescent="0.25">
      <c r="B10" s="1">
        <v>46040</v>
      </c>
      <c r="C10" t="s">
        <v>27</v>
      </c>
      <c r="D10" t="s">
        <v>18</v>
      </c>
      <c r="E10">
        <v>41</v>
      </c>
      <c r="F10">
        <v>760.65</v>
      </c>
      <c r="G10">
        <f>Table2[[#This Row],[Quantity]]*Table2[[#This Row],[Unit Price]]</f>
        <v>31186.649999999998</v>
      </c>
    </row>
    <row r="11" spans="2:11" x14ac:dyDescent="0.25">
      <c r="B11" s="1">
        <v>46030</v>
      </c>
      <c r="C11" t="s">
        <v>15</v>
      </c>
      <c r="D11" t="s">
        <v>16</v>
      </c>
      <c r="E11">
        <v>45</v>
      </c>
      <c r="F11">
        <v>691.66</v>
      </c>
      <c r="G11">
        <f>Table2[[#This Row],[Quantity]]*Table2[[#This Row],[Unit Price]]</f>
        <v>31124.699999999997</v>
      </c>
    </row>
    <row r="12" spans="2:11" x14ac:dyDescent="0.25">
      <c r="B12" s="1">
        <v>46064</v>
      </c>
      <c r="C12" t="s">
        <v>17</v>
      </c>
      <c r="D12" t="s">
        <v>18</v>
      </c>
      <c r="E12">
        <v>35</v>
      </c>
      <c r="F12">
        <v>860.94</v>
      </c>
      <c r="G12">
        <f>Table2[[#This Row],[Quantity]]*Table2[[#This Row],[Unit Price]]</f>
        <v>30132.9</v>
      </c>
    </row>
    <row r="13" spans="2:11" x14ac:dyDescent="0.25">
      <c r="B13" s="1">
        <v>46083</v>
      </c>
      <c r="C13" t="s">
        <v>10</v>
      </c>
      <c r="D13" t="s">
        <v>11</v>
      </c>
      <c r="E13">
        <v>43</v>
      </c>
      <c r="F13">
        <v>602.6</v>
      </c>
      <c r="G13">
        <f>Table2[[#This Row],[Quantity]]*Table2[[#This Row],[Unit Price]]</f>
        <v>25911.8</v>
      </c>
    </row>
    <row r="14" spans="2:11" x14ac:dyDescent="0.25">
      <c r="B14" s="1">
        <v>46054</v>
      </c>
      <c r="C14" t="s">
        <v>25</v>
      </c>
      <c r="D14" t="s">
        <v>6</v>
      </c>
      <c r="E14">
        <v>51</v>
      </c>
      <c r="F14">
        <v>489.12</v>
      </c>
      <c r="G14">
        <f>Table2[[#This Row],[Quantity]]*Table2[[#This Row],[Unit Price]]</f>
        <v>24945.119999999999</v>
      </c>
    </row>
    <row r="15" spans="2:11" x14ac:dyDescent="0.25">
      <c r="B15" s="1">
        <v>46073</v>
      </c>
      <c r="C15" t="s">
        <v>15</v>
      </c>
      <c r="D15" t="s">
        <v>16</v>
      </c>
      <c r="E15">
        <v>46</v>
      </c>
      <c r="F15">
        <v>536.4</v>
      </c>
      <c r="G15">
        <f>Table2[[#This Row],[Quantity]]*Table2[[#This Row],[Unit Price]]</f>
        <v>24674.399999999998</v>
      </c>
    </row>
    <row r="16" spans="2:11" x14ac:dyDescent="0.25">
      <c r="B16" s="1">
        <v>46042</v>
      </c>
      <c r="C16" t="s">
        <v>19</v>
      </c>
      <c r="D16" t="s">
        <v>18</v>
      </c>
      <c r="E16">
        <v>39</v>
      </c>
      <c r="F16">
        <v>593.38</v>
      </c>
      <c r="G16">
        <f>Table2[[#This Row],[Quantity]]*Table2[[#This Row],[Unit Price]]</f>
        <v>23141.82</v>
      </c>
    </row>
    <row r="17" spans="2:7" x14ac:dyDescent="0.25">
      <c r="B17" s="1">
        <v>46029</v>
      </c>
      <c r="C17" t="s">
        <v>14</v>
      </c>
      <c r="D17" t="s">
        <v>13</v>
      </c>
      <c r="E17">
        <v>52</v>
      </c>
      <c r="F17">
        <v>438.57</v>
      </c>
      <c r="G17">
        <f>Table2[[#This Row],[Quantity]]*Table2[[#This Row],[Unit Price]]</f>
        <v>22805.64</v>
      </c>
    </row>
    <row r="18" spans="2:7" x14ac:dyDescent="0.25">
      <c r="B18" s="1">
        <v>46097</v>
      </c>
      <c r="C18" t="s">
        <v>9</v>
      </c>
      <c r="D18" t="s">
        <v>6</v>
      </c>
      <c r="E18">
        <v>43</v>
      </c>
      <c r="F18">
        <v>514.15</v>
      </c>
      <c r="G18">
        <f>Table2[[#This Row],[Quantity]]*Table2[[#This Row],[Unit Price]]</f>
        <v>22108.45</v>
      </c>
    </row>
    <row r="19" spans="2:7" x14ac:dyDescent="0.25">
      <c r="B19" s="1">
        <v>46116</v>
      </c>
      <c r="C19" t="s">
        <v>14</v>
      </c>
      <c r="D19" t="s">
        <v>13</v>
      </c>
      <c r="E19">
        <v>60</v>
      </c>
      <c r="F19">
        <v>341.79</v>
      </c>
      <c r="G19">
        <f>Table2[[#This Row],[Quantity]]*Table2[[#This Row],[Unit Price]]</f>
        <v>20507.400000000001</v>
      </c>
    </row>
    <row r="20" spans="2:7" x14ac:dyDescent="0.25">
      <c r="B20" s="1">
        <v>46076</v>
      </c>
      <c r="C20" t="s">
        <v>19</v>
      </c>
      <c r="D20" t="s">
        <v>18</v>
      </c>
      <c r="E20">
        <v>38</v>
      </c>
      <c r="F20">
        <v>525.29</v>
      </c>
      <c r="G20">
        <f>Table2[[#This Row],[Quantity]]*Table2[[#This Row],[Unit Price]]</f>
        <v>19961.019999999997</v>
      </c>
    </row>
    <row r="21" spans="2:7" x14ac:dyDescent="0.25">
      <c r="B21" s="1">
        <v>46045</v>
      </c>
      <c r="C21" t="s">
        <v>30</v>
      </c>
      <c r="D21" t="s">
        <v>16</v>
      </c>
      <c r="E21">
        <v>15</v>
      </c>
      <c r="F21">
        <v>1250.52</v>
      </c>
      <c r="G21">
        <f>Table2[[#This Row],[Quantity]]*Table2[[#This Row],[Unit Price]]</f>
        <v>18757.8</v>
      </c>
    </row>
    <row r="22" spans="2:7" x14ac:dyDescent="0.25">
      <c r="B22" s="1">
        <v>46074</v>
      </c>
      <c r="C22" t="s">
        <v>38</v>
      </c>
      <c r="D22" t="s">
        <v>6</v>
      </c>
      <c r="E22">
        <v>29</v>
      </c>
      <c r="F22">
        <v>633.75</v>
      </c>
      <c r="G22">
        <f>Table2[[#This Row],[Quantity]]*Table2[[#This Row],[Unit Price]]</f>
        <v>18378.75</v>
      </c>
    </row>
    <row r="23" spans="2:7" x14ac:dyDescent="0.25">
      <c r="B23" s="1">
        <v>46062</v>
      </c>
      <c r="C23" t="s">
        <v>36</v>
      </c>
      <c r="D23" t="s">
        <v>13</v>
      </c>
      <c r="E23">
        <v>56</v>
      </c>
      <c r="F23">
        <v>323.89</v>
      </c>
      <c r="G23">
        <f>Table2[[#This Row],[Quantity]]*Table2[[#This Row],[Unit Price]]</f>
        <v>18137.84</v>
      </c>
    </row>
    <row r="24" spans="2:7" x14ac:dyDescent="0.25">
      <c r="B24" s="1">
        <v>46061</v>
      </c>
      <c r="C24" t="s">
        <v>38</v>
      </c>
      <c r="D24" t="s">
        <v>6</v>
      </c>
      <c r="E24">
        <v>33</v>
      </c>
      <c r="F24">
        <v>542.9</v>
      </c>
      <c r="G24">
        <f>Table2[[#This Row],[Quantity]]*Table2[[#This Row],[Unit Price]]</f>
        <v>17915.7</v>
      </c>
    </row>
    <row r="25" spans="2:7" x14ac:dyDescent="0.25">
      <c r="B25" s="1">
        <v>46051</v>
      </c>
      <c r="C25" t="s">
        <v>35</v>
      </c>
      <c r="D25" t="s">
        <v>13</v>
      </c>
      <c r="E25">
        <v>58</v>
      </c>
      <c r="F25">
        <v>304.26</v>
      </c>
      <c r="G25">
        <f>Table2[[#This Row],[Quantity]]*Table2[[#This Row],[Unit Price]]</f>
        <v>17647.079999999998</v>
      </c>
    </row>
    <row r="26" spans="2:7" x14ac:dyDescent="0.25">
      <c r="B26" s="1">
        <v>46053</v>
      </c>
      <c r="C26" t="s">
        <v>10</v>
      </c>
      <c r="D26" t="s">
        <v>11</v>
      </c>
      <c r="E26">
        <v>56</v>
      </c>
      <c r="F26">
        <v>265.13</v>
      </c>
      <c r="G26">
        <f>Table2[[#This Row],[Quantity]]*Table2[[#This Row],[Unit Price]]</f>
        <v>14847.279999999999</v>
      </c>
    </row>
    <row r="27" spans="2:7" x14ac:dyDescent="0.25">
      <c r="B27" s="1">
        <v>46063</v>
      </c>
      <c r="C27" t="s">
        <v>39</v>
      </c>
      <c r="D27" t="s">
        <v>16</v>
      </c>
      <c r="E27">
        <v>39</v>
      </c>
      <c r="F27">
        <v>378.48</v>
      </c>
      <c r="G27">
        <f>Table2[[#This Row],[Quantity]]*Table2[[#This Row],[Unit Price]]</f>
        <v>14760.720000000001</v>
      </c>
    </row>
    <row r="28" spans="2:7" x14ac:dyDescent="0.25">
      <c r="B28" s="1">
        <v>46039</v>
      </c>
      <c r="C28" t="s">
        <v>26</v>
      </c>
      <c r="D28" t="s">
        <v>11</v>
      </c>
      <c r="E28">
        <v>56</v>
      </c>
      <c r="F28">
        <v>256.05</v>
      </c>
      <c r="G28">
        <f>Table2[[#This Row],[Quantity]]*Table2[[#This Row],[Unit Price]]</f>
        <v>14338.800000000001</v>
      </c>
    </row>
    <row r="29" spans="2:7" x14ac:dyDescent="0.25">
      <c r="B29" s="1">
        <v>46081</v>
      </c>
      <c r="C29" t="s">
        <v>9</v>
      </c>
      <c r="D29" t="s">
        <v>6</v>
      </c>
      <c r="E29">
        <v>37</v>
      </c>
      <c r="F29">
        <v>351.96</v>
      </c>
      <c r="G29">
        <f>Table2[[#This Row],[Quantity]]*Table2[[#This Row],[Unit Price]]</f>
        <v>13022.519999999999</v>
      </c>
    </row>
    <row r="30" spans="2:7" x14ac:dyDescent="0.25">
      <c r="B30" s="1">
        <v>46088</v>
      </c>
      <c r="C30" t="s">
        <v>27</v>
      </c>
      <c r="D30" t="s">
        <v>18</v>
      </c>
      <c r="E30">
        <v>16</v>
      </c>
      <c r="F30">
        <v>794.57</v>
      </c>
      <c r="G30">
        <f>Table2[[#This Row],[Quantity]]*Table2[[#This Row],[Unit Price]]</f>
        <v>12713.12</v>
      </c>
    </row>
    <row r="31" spans="2:7" x14ac:dyDescent="0.25">
      <c r="B31" s="1">
        <v>46046</v>
      </c>
      <c r="C31" t="s">
        <v>31</v>
      </c>
      <c r="D31" t="s">
        <v>16</v>
      </c>
      <c r="E31">
        <v>26</v>
      </c>
      <c r="F31">
        <v>474.84</v>
      </c>
      <c r="G31">
        <f>Table2[[#This Row],[Quantity]]*Table2[[#This Row],[Unit Price]]</f>
        <v>12345.84</v>
      </c>
    </row>
    <row r="32" spans="2:7" x14ac:dyDescent="0.25">
      <c r="B32" s="1">
        <v>46031</v>
      </c>
      <c r="C32" t="s">
        <v>17</v>
      </c>
      <c r="D32" t="s">
        <v>18</v>
      </c>
      <c r="E32">
        <v>14</v>
      </c>
      <c r="F32">
        <v>864.06</v>
      </c>
      <c r="G32">
        <f>Table2[[#This Row],[Quantity]]*Table2[[#This Row],[Unit Price]]</f>
        <v>12096.84</v>
      </c>
    </row>
    <row r="33" spans="2:7" x14ac:dyDescent="0.25">
      <c r="B33" s="1">
        <v>46120</v>
      </c>
      <c r="C33" t="s">
        <v>38</v>
      </c>
      <c r="D33" t="s">
        <v>6</v>
      </c>
      <c r="E33">
        <v>33</v>
      </c>
      <c r="F33">
        <v>362.43</v>
      </c>
      <c r="G33">
        <f>Table2[[#This Row],[Quantity]]*Table2[[#This Row],[Unit Price]]</f>
        <v>11960.19</v>
      </c>
    </row>
    <row r="34" spans="2:7" x14ac:dyDescent="0.25">
      <c r="B34" s="1">
        <v>46105</v>
      </c>
      <c r="C34" t="s">
        <v>24</v>
      </c>
      <c r="D34" t="s">
        <v>13</v>
      </c>
      <c r="E34">
        <v>38</v>
      </c>
      <c r="F34">
        <v>309.42</v>
      </c>
      <c r="G34">
        <f>Table2[[#This Row],[Quantity]]*Table2[[#This Row],[Unit Price]]</f>
        <v>11757.960000000001</v>
      </c>
    </row>
    <row r="35" spans="2:7" x14ac:dyDescent="0.25">
      <c r="B35" s="1">
        <v>46038</v>
      </c>
      <c r="C35" t="s">
        <v>25</v>
      </c>
      <c r="D35" t="s">
        <v>6</v>
      </c>
      <c r="E35">
        <v>50</v>
      </c>
      <c r="F35">
        <v>231</v>
      </c>
      <c r="G35">
        <f>Table2[[#This Row],[Quantity]]*Table2[[#This Row],[Unit Price]]</f>
        <v>11550</v>
      </c>
    </row>
    <row r="36" spans="2:7" x14ac:dyDescent="0.25">
      <c r="B36" s="1">
        <v>46033</v>
      </c>
      <c r="C36" t="s">
        <v>20</v>
      </c>
      <c r="D36" t="s">
        <v>18</v>
      </c>
      <c r="E36">
        <v>39</v>
      </c>
      <c r="F36">
        <v>282.2</v>
      </c>
      <c r="G36">
        <f>Table2[[#This Row],[Quantity]]*Table2[[#This Row],[Unit Price]]</f>
        <v>11005.8</v>
      </c>
    </row>
    <row r="37" spans="2:7" x14ac:dyDescent="0.25">
      <c r="B37" s="1">
        <v>46113</v>
      </c>
      <c r="C37" t="s">
        <v>26</v>
      </c>
      <c r="D37" t="s">
        <v>11</v>
      </c>
      <c r="E37">
        <v>24</v>
      </c>
      <c r="F37">
        <v>449.24</v>
      </c>
      <c r="G37">
        <f>Table2[[#This Row],[Quantity]]*Table2[[#This Row],[Unit Price]]</f>
        <v>10781.76</v>
      </c>
    </row>
    <row r="38" spans="2:7" x14ac:dyDescent="0.25">
      <c r="B38" s="1">
        <v>46058</v>
      </c>
      <c r="C38" t="s">
        <v>9</v>
      </c>
      <c r="D38" t="s">
        <v>6</v>
      </c>
      <c r="E38">
        <v>49</v>
      </c>
      <c r="F38">
        <v>216.1</v>
      </c>
      <c r="G38">
        <f>Table2[[#This Row],[Quantity]]*Table2[[#This Row],[Unit Price]]</f>
        <v>10588.9</v>
      </c>
    </row>
    <row r="39" spans="2:7" x14ac:dyDescent="0.25">
      <c r="B39" s="1">
        <v>46107</v>
      </c>
      <c r="C39" t="s">
        <v>12</v>
      </c>
      <c r="D39" t="s">
        <v>13</v>
      </c>
      <c r="E39">
        <v>21</v>
      </c>
      <c r="F39">
        <v>469.31</v>
      </c>
      <c r="G39">
        <f>Table2[[#This Row],[Quantity]]*Table2[[#This Row],[Unit Price]]</f>
        <v>9855.51</v>
      </c>
    </row>
    <row r="40" spans="2:7" x14ac:dyDescent="0.25">
      <c r="B40" s="1">
        <v>46034</v>
      </c>
      <c r="C40" t="s">
        <v>21</v>
      </c>
      <c r="D40" t="s">
        <v>11</v>
      </c>
      <c r="E40">
        <v>35</v>
      </c>
      <c r="F40">
        <v>281.07</v>
      </c>
      <c r="G40">
        <f>Table2[[#This Row],[Quantity]]*Table2[[#This Row],[Unit Price]]</f>
        <v>9837.4499999999989</v>
      </c>
    </row>
    <row r="41" spans="2:7" x14ac:dyDescent="0.25">
      <c r="B41" s="1">
        <v>46044</v>
      </c>
      <c r="C41" t="s">
        <v>29</v>
      </c>
      <c r="D41" t="s">
        <v>18</v>
      </c>
      <c r="E41">
        <v>15</v>
      </c>
      <c r="F41">
        <v>635.08000000000004</v>
      </c>
      <c r="G41">
        <f>Table2[[#This Row],[Quantity]]*Table2[[#This Row],[Unit Price]]</f>
        <v>9526.2000000000007</v>
      </c>
    </row>
    <row r="42" spans="2:7" x14ac:dyDescent="0.25">
      <c r="B42" s="1">
        <v>46106</v>
      </c>
      <c r="C42" t="s">
        <v>36</v>
      </c>
      <c r="D42" t="s">
        <v>13</v>
      </c>
      <c r="E42">
        <v>27</v>
      </c>
      <c r="F42">
        <v>338.97</v>
      </c>
      <c r="G42">
        <f>Table2[[#This Row],[Quantity]]*Table2[[#This Row],[Unit Price]]</f>
        <v>9152.19</v>
      </c>
    </row>
    <row r="43" spans="2:7" x14ac:dyDescent="0.25">
      <c r="B43" s="1">
        <v>46119</v>
      </c>
      <c r="C43" t="s">
        <v>24</v>
      </c>
      <c r="D43" t="s">
        <v>13</v>
      </c>
      <c r="E43">
        <v>46</v>
      </c>
      <c r="F43">
        <v>191.15</v>
      </c>
      <c r="G43">
        <f>Table2[[#This Row],[Quantity]]*Table2[[#This Row],[Unit Price]]</f>
        <v>8792.9</v>
      </c>
    </row>
    <row r="44" spans="2:7" x14ac:dyDescent="0.25">
      <c r="B44" s="1">
        <v>46092</v>
      </c>
      <c r="C44" t="s">
        <v>15</v>
      </c>
      <c r="D44" t="s">
        <v>16</v>
      </c>
      <c r="E44">
        <v>11</v>
      </c>
      <c r="F44">
        <v>668.98</v>
      </c>
      <c r="G44">
        <f>Table2[[#This Row],[Quantity]]*Table2[[#This Row],[Unit Price]]</f>
        <v>7358.7800000000007</v>
      </c>
    </row>
    <row r="45" spans="2:7" x14ac:dyDescent="0.25">
      <c r="B45" s="1">
        <v>46080</v>
      </c>
      <c r="C45" t="s">
        <v>27</v>
      </c>
      <c r="D45" t="s">
        <v>18</v>
      </c>
      <c r="E45">
        <v>14</v>
      </c>
      <c r="F45">
        <v>512.96</v>
      </c>
      <c r="G45">
        <f>Table2[[#This Row],[Quantity]]*Table2[[#This Row],[Unit Price]]</f>
        <v>7181.4400000000005</v>
      </c>
    </row>
    <row r="46" spans="2:7" x14ac:dyDescent="0.25">
      <c r="B46" s="1">
        <v>46065</v>
      </c>
      <c r="C46" t="s">
        <v>36</v>
      </c>
      <c r="D46" t="s">
        <v>13</v>
      </c>
      <c r="E46">
        <v>39</v>
      </c>
      <c r="F46">
        <v>182.35</v>
      </c>
      <c r="G46">
        <f>Table2[[#This Row],[Quantity]]*Table2[[#This Row],[Unit Price]]</f>
        <v>7111.65</v>
      </c>
    </row>
    <row r="47" spans="2:7" x14ac:dyDescent="0.25">
      <c r="B47" s="1">
        <v>46104</v>
      </c>
      <c r="C47" t="s">
        <v>15</v>
      </c>
      <c r="D47" t="s">
        <v>16</v>
      </c>
      <c r="E47">
        <v>26</v>
      </c>
      <c r="F47">
        <v>267.83999999999997</v>
      </c>
      <c r="G47">
        <f>Table2[[#This Row],[Quantity]]*Table2[[#This Row],[Unit Price]]</f>
        <v>6963.8399999999992</v>
      </c>
    </row>
    <row r="48" spans="2:7" x14ac:dyDescent="0.25">
      <c r="B48" s="1">
        <v>46072</v>
      </c>
      <c r="C48" t="s">
        <v>35</v>
      </c>
      <c r="D48" t="s">
        <v>13</v>
      </c>
      <c r="E48">
        <v>14</v>
      </c>
      <c r="F48">
        <v>466.59</v>
      </c>
      <c r="G48">
        <f>Table2[[#This Row],[Quantity]]*Table2[[#This Row],[Unit Price]]</f>
        <v>6532.2599999999993</v>
      </c>
    </row>
    <row r="49" spans="2:7" x14ac:dyDescent="0.25">
      <c r="B49" s="1">
        <v>46121</v>
      </c>
      <c r="C49" t="s">
        <v>30</v>
      </c>
      <c r="D49" t="s">
        <v>16</v>
      </c>
      <c r="E49">
        <v>6</v>
      </c>
      <c r="F49">
        <v>988</v>
      </c>
      <c r="G49">
        <f>Table2[[#This Row],[Quantity]]*Table2[[#This Row],[Unit Price]]</f>
        <v>5928</v>
      </c>
    </row>
    <row r="50" spans="2:7" x14ac:dyDescent="0.25">
      <c r="B50" s="1">
        <v>46055</v>
      </c>
      <c r="C50" t="s">
        <v>36</v>
      </c>
      <c r="D50" t="s">
        <v>13</v>
      </c>
      <c r="E50">
        <v>25</v>
      </c>
      <c r="F50">
        <v>209.36</v>
      </c>
      <c r="G50">
        <f>Table2[[#This Row],[Quantity]]*Table2[[#This Row],[Unit Price]]</f>
        <v>5234</v>
      </c>
    </row>
    <row r="51" spans="2:7" x14ac:dyDescent="0.25">
      <c r="B51" s="1">
        <v>46047</v>
      </c>
      <c r="C51" t="s">
        <v>32</v>
      </c>
      <c r="D51" t="s">
        <v>8</v>
      </c>
      <c r="E51">
        <v>57</v>
      </c>
      <c r="F51">
        <v>88.97</v>
      </c>
      <c r="G51">
        <f>Table2[[#This Row],[Quantity]]*Table2[[#This Row],[Unit Price]]</f>
        <v>5071.29</v>
      </c>
    </row>
    <row r="52" spans="2:7" x14ac:dyDescent="0.25">
      <c r="B52" s="1">
        <v>46028</v>
      </c>
      <c r="C52" t="s">
        <v>9</v>
      </c>
      <c r="D52" t="s">
        <v>6</v>
      </c>
      <c r="E52">
        <v>27</v>
      </c>
      <c r="F52">
        <v>185.49</v>
      </c>
      <c r="G52">
        <f>Table2[[#This Row],[Quantity]]*Table2[[#This Row],[Unit Price]]</f>
        <v>5008.2300000000005</v>
      </c>
    </row>
    <row r="53" spans="2:7" x14ac:dyDescent="0.25">
      <c r="B53" s="1">
        <v>46071</v>
      </c>
      <c r="C53" t="s">
        <v>24</v>
      </c>
      <c r="D53" t="s">
        <v>13</v>
      </c>
      <c r="E53">
        <v>17</v>
      </c>
      <c r="F53">
        <v>278.01</v>
      </c>
      <c r="G53">
        <f>Table2[[#This Row],[Quantity]]*Table2[[#This Row],[Unit Price]]</f>
        <v>4726.17</v>
      </c>
    </row>
    <row r="54" spans="2:7" x14ac:dyDescent="0.25">
      <c r="B54" s="1">
        <v>46052</v>
      </c>
      <c r="C54" t="s">
        <v>17</v>
      </c>
      <c r="D54" t="s">
        <v>18</v>
      </c>
      <c r="E54">
        <v>9</v>
      </c>
      <c r="F54">
        <v>488</v>
      </c>
      <c r="G54">
        <f>Table2[[#This Row],[Quantity]]*Table2[[#This Row],[Unit Price]]</f>
        <v>4392</v>
      </c>
    </row>
    <row r="55" spans="2:7" x14ac:dyDescent="0.25">
      <c r="B55" s="1">
        <v>46112</v>
      </c>
      <c r="C55" t="s">
        <v>14</v>
      </c>
      <c r="D55" t="s">
        <v>13</v>
      </c>
      <c r="E55">
        <v>9</v>
      </c>
      <c r="F55">
        <v>468.63</v>
      </c>
      <c r="G55">
        <f>Table2[[#This Row],[Quantity]]*Table2[[#This Row],[Unit Price]]</f>
        <v>4217.67</v>
      </c>
    </row>
    <row r="56" spans="2:7" x14ac:dyDescent="0.25">
      <c r="B56" s="1">
        <v>46094</v>
      </c>
      <c r="C56" t="s">
        <v>26</v>
      </c>
      <c r="D56" t="s">
        <v>11</v>
      </c>
      <c r="E56">
        <v>25</v>
      </c>
      <c r="F56">
        <v>152.26</v>
      </c>
      <c r="G56">
        <f>Table2[[#This Row],[Quantity]]*Table2[[#This Row],[Unit Price]]</f>
        <v>3806.5</v>
      </c>
    </row>
    <row r="57" spans="2:7" x14ac:dyDescent="0.25">
      <c r="B57" s="1">
        <v>46086</v>
      </c>
      <c r="C57" t="s">
        <v>19</v>
      </c>
      <c r="D57" t="s">
        <v>18</v>
      </c>
      <c r="E57">
        <v>16</v>
      </c>
      <c r="F57">
        <v>220.94</v>
      </c>
      <c r="G57">
        <f>Table2[[#This Row],[Quantity]]*Table2[[#This Row],[Unit Price]]</f>
        <v>3535.04</v>
      </c>
    </row>
    <row r="58" spans="2:7" x14ac:dyDescent="0.25">
      <c r="B58" s="1">
        <v>46079</v>
      </c>
      <c r="C58" t="s">
        <v>40</v>
      </c>
      <c r="D58" t="s">
        <v>11</v>
      </c>
      <c r="E58">
        <v>5</v>
      </c>
      <c r="F58">
        <v>689.86</v>
      </c>
      <c r="G58">
        <f>Table2[[#This Row],[Quantity]]*Table2[[#This Row],[Unit Price]]</f>
        <v>3449.3</v>
      </c>
    </row>
    <row r="59" spans="2:7" x14ac:dyDescent="0.25">
      <c r="B59" s="1">
        <v>46101</v>
      </c>
      <c r="C59" t="s">
        <v>37</v>
      </c>
      <c r="D59" t="s">
        <v>23</v>
      </c>
      <c r="E59">
        <v>59</v>
      </c>
      <c r="F59">
        <v>51.46</v>
      </c>
      <c r="G59">
        <f>Table2[[#This Row],[Quantity]]*Table2[[#This Row],[Unit Price]]</f>
        <v>3036.14</v>
      </c>
    </row>
    <row r="60" spans="2:7" x14ac:dyDescent="0.25">
      <c r="B60" s="1">
        <v>46067</v>
      </c>
      <c r="C60" t="s">
        <v>31</v>
      </c>
      <c r="D60" t="s">
        <v>16</v>
      </c>
      <c r="E60">
        <v>16</v>
      </c>
      <c r="F60">
        <v>181.1</v>
      </c>
      <c r="G60">
        <f>Table2[[#This Row],[Quantity]]*Table2[[#This Row],[Unit Price]]</f>
        <v>2897.6</v>
      </c>
    </row>
    <row r="61" spans="2:7" x14ac:dyDescent="0.25">
      <c r="B61" s="1">
        <v>46037</v>
      </c>
      <c r="C61" t="s">
        <v>24</v>
      </c>
      <c r="D61" t="s">
        <v>13</v>
      </c>
      <c r="E61">
        <v>46</v>
      </c>
      <c r="F61">
        <v>62.69</v>
      </c>
      <c r="G61">
        <f>Table2[[#This Row],[Quantity]]*Table2[[#This Row],[Unit Price]]</f>
        <v>2883.74</v>
      </c>
    </row>
    <row r="62" spans="2:7" x14ac:dyDescent="0.25">
      <c r="B62" s="1">
        <v>46095</v>
      </c>
      <c r="C62" t="s">
        <v>44</v>
      </c>
      <c r="D62" t="s">
        <v>23</v>
      </c>
      <c r="E62">
        <v>60</v>
      </c>
      <c r="F62">
        <v>47.48</v>
      </c>
      <c r="G62">
        <f>Table2[[#This Row],[Quantity]]*Table2[[#This Row],[Unit Price]]</f>
        <v>2848.7999999999997</v>
      </c>
    </row>
    <row r="63" spans="2:7" x14ac:dyDescent="0.25">
      <c r="B63" s="1">
        <v>46091</v>
      </c>
      <c r="C63" t="s">
        <v>36</v>
      </c>
      <c r="D63" t="s">
        <v>13</v>
      </c>
      <c r="E63">
        <v>6</v>
      </c>
      <c r="F63">
        <v>465.39</v>
      </c>
      <c r="G63">
        <f>Table2[[#This Row],[Quantity]]*Table2[[#This Row],[Unit Price]]</f>
        <v>2792.34</v>
      </c>
    </row>
    <row r="64" spans="2:7" x14ac:dyDescent="0.25">
      <c r="B64" s="1">
        <v>46048</v>
      </c>
      <c r="C64" t="s">
        <v>33</v>
      </c>
      <c r="D64" t="s">
        <v>8</v>
      </c>
      <c r="E64">
        <v>26</v>
      </c>
      <c r="F64">
        <v>107.32</v>
      </c>
      <c r="G64">
        <f>Table2[[#This Row],[Quantity]]*Table2[[#This Row],[Unit Price]]</f>
        <v>2790.3199999999997</v>
      </c>
    </row>
    <row r="65" spans="2:7" x14ac:dyDescent="0.25">
      <c r="B65" s="1">
        <v>46043</v>
      </c>
      <c r="C65" t="s">
        <v>24</v>
      </c>
      <c r="D65" t="s">
        <v>13</v>
      </c>
      <c r="E65">
        <v>11</v>
      </c>
      <c r="F65">
        <v>247.26</v>
      </c>
      <c r="G65">
        <f>Table2[[#This Row],[Quantity]]*Table2[[#This Row],[Unit Price]]</f>
        <v>2719.8599999999997</v>
      </c>
    </row>
    <row r="66" spans="2:7" x14ac:dyDescent="0.25">
      <c r="B66" s="1">
        <v>46070</v>
      </c>
      <c r="C66" t="s">
        <v>7</v>
      </c>
      <c r="D66" t="s">
        <v>8</v>
      </c>
      <c r="E66">
        <v>43</v>
      </c>
      <c r="F66">
        <v>62.28</v>
      </c>
      <c r="G66">
        <f>Table2[[#This Row],[Quantity]]*Table2[[#This Row],[Unit Price]]</f>
        <v>2678.04</v>
      </c>
    </row>
    <row r="67" spans="2:7" x14ac:dyDescent="0.25">
      <c r="B67" s="1">
        <v>46025</v>
      </c>
      <c r="C67" t="s">
        <v>9</v>
      </c>
      <c r="D67" t="s">
        <v>6</v>
      </c>
      <c r="E67">
        <v>6</v>
      </c>
      <c r="F67">
        <v>429.73</v>
      </c>
      <c r="G67">
        <f>Table2[[#This Row],[Quantity]]*Table2[[#This Row],[Unit Price]]</f>
        <v>2578.38</v>
      </c>
    </row>
    <row r="68" spans="2:7" x14ac:dyDescent="0.25">
      <c r="B68" s="1">
        <v>46085</v>
      </c>
      <c r="C68" t="s">
        <v>10</v>
      </c>
      <c r="D68" t="s">
        <v>11</v>
      </c>
      <c r="E68">
        <v>4</v>
      </c>
      <c r="F68">
        <v>572.75</v>
      </c>
      <c r="G68">
        <f>Table2[[#This Row],[Quantity]]*Table2[[#This Row],[Unit Price]]</f>
        <v>2291</v>
      </c>
    </row>
    <row r="69" spans="2:7" x14ac:dyDescent="0.25">
      <c r="B69" s="1">
        <v>46026</v>
      </c>
      <c r="C69" t="s">
        <v>10</v>
      </c>
      <c r="D69" t="s">
        <v>11</v>
      </c>
      <c r="E69">
        <v>6</v>
      </c>
      <c r="F69">
        <v>379.57</v>
      </c>
      <c r="G69">
        <f>Table2[[#This Row],[Quantity]]*Table2[[#This Row],[Unit Price]]</f>
        <v>2277.42</v>
      </c>
    </row>
    <row r="70" spans="2:7" x14ac:dyDescent="0.25">
      <c r="B70" s="1">
        <v>46032</v>
      </c>
      <c r="C70" t="s">
        <v>19</v>
      </c>
      <c r="D70" t="s">
        <v>18</v>
      </c>
      <c r="E70">
        <v>6</v>
      </c>
      <c r="F70">
        <v>379.14</v>
      </c>
      <c r="G70">
        <f>Table2[[#This Row],[Quantity]]*Table2[[#This Row],[Unit Price]]</f>
        <v>2274.84</v>
      </c>
    </row>
    <row r="71" spans="2:7" x14ac:dyDescent="0.25">
      <c r="B71" s="1">
        <v>46068</v>
      </c>
      <c r="C71" t="s">
        <v>36</v>
      </c>
      <c r="D71" t="s">
        <v>13</v>
      </c>
      <c r="E71">
        <v>6</v>
      </c>
      <c r="F71">
        <v>374</v>
      </c>
      <c r="G71">
        <f>Table2[[#This Row],[Quantity]]*Table2[[#This Row],[Unit Price]]</f>
        <v>2244</v>
      </c>
    </row>
    <row r="72" spans="2:7" x14ac:dyDescent="0.25">
      <c r="B72" s="1">
        <v>46118</v>
      </c>
      <c r="C72" t="s">
        <v>9</v>
      </c>
      <c r="D72" t="s">
        <v>6</v>
      </c>
      <c r="E72">
        <v>10</v>
      </c>
      <c r="F72">
        <v>219.75</v>
      </c>
      <c r="G72">
        <f>Table2[[#This Row],[Quantity]]*Table2[[#This Row],[Unit Price]]</f>
        <v>2197.5</v>
      </c>
    </row>
    <row r="73" spans="2:7" x14ac:dyDescent="0.25">
      <c r="B73" s="1">
        <v>46049</v>
      </c>
      <c r="C73" t="s">
        <v>34</v>
      </c>
      <c r="D73" t="s">
        <v>6</v>
      </c>
      <c r="E73">
        <v>10</v>
      </c>
      <c r="F73">
        <v>214.82</v>
      </c>
      <c r="G73">
        <f>Table2[[#This Row],[Quantity]]*Table2[[#This Row],[Unit Price]]</f>
        <v>2148.1999999999998</v>
      </c>
    </row>
    <row r="74" spans="2:7" x14ac:dyDescent="0.25">
      <c r="B74" s="1">
        <v>46087</v>
      </c>
      <c r="C74" t="s">
        <v>35</v>
      </c>
      <c r="D74" t="s">
        <v>13</v>
      </c>
      <c r="E74">
        <v>9</v>
      </c>
      <c r="F74">
        <v>228.28</v>
      </c>
      <c r="G74">
        <f>Table2[[#This Row],[Quantity]]*Table2[[#This Row],[Unit Price]]</f>
        <v>2054.52</v>
      </c>
    </row>
    <row r="75" spans="2:7" x14ac:dyDescent="0.25">
      <c r="B75" s="1">
        <v>46059</v>
      </c>
      <c r="C75" t="s">
        <v>38</v>
      </c>
      <c r="D75" t="s">
        <v>6</v>
      </c>
      <c r="E75">
        <v>8</v>
      </c>
      <c r="F75">
        <v>233.71</v>
      </c>
      <c r="G75">
        <f>Table2[[#This Row],[Quantity]]*Table2[[#This Row],[Unit Price]]</f>
        <v>1869.68</v>
      </c>
    </row>
    <row r="76" spans="2:7" x14ac:dyDescent="0.25">
      <c r="B76" s="1">
        <v>46084</v>
      </c>
      <c r="C76" t="s">
        <v>42</v>
      </c>
      <c r="D76" t="s">
        <v>23</v>
      </c>
      <c r="E76">
        <v>30</v>
      </c>
      <c r="F76">
        <v>52.1</v>
      </c>
      <c r="G76">
        <f>Table2[[#This Row],[Quantity]]*Table2[[#This Row],[Unit Price]]</f>
        <v>1563</v>
      </c>
    </row>
    <row r="77" spans="2:7" x14ac:dyDescent="0.25">
      <c r="B77" s="1">
        <v>46093</v>
      </c>
      <c r="C77" t="s">
        <v>43</v>
      </c>
      <c r="D77" t="s">
        <v>23</v>
      </c>
      <c r="E77">
        <v>56</v>
      </c>
      <c r="F77">
        <v>25.26</v>
      </c>
      <c r="G77">
        <f>Table2[[#This Row],[Quantity]]*Table2[[#This Row],[Unit Price]]</f>
        <v>1414.5600000000002</v>
      </c>
    </row>
    <row r="78" spans="2:7" x14ac:dyDescent="0.25">
      <c r="B78" s="1">
        <v>46111</v>
      </c>
      <c r="C78" t="s">
        <v>36</v>
      </c>
      <c r="D78" t="s">
        <v>13</v>
      </c>
      <c r="E78">
        <v>5</v>
      </c>
      <c r="F78">
        <v>282.69</v>
      </c>
      <c r="G78">
        <f>Table2[[#This Row],[Quantity]]*Table2[[#This Row],[Unit Price]]</f>
        <v>1413.45</v>
      </c>
    </row>
    <row r="79" spans="2:7" x14ac:dyDescent="0.25">
      <c r="B79" s="1">
        <v>46050</v>
      </c>
      <c r="C79" t="s">
        <v>32</v>
      </c>
      <c r="D79" t="s">
        <v>8</v>
      </c>
      <c r="E79">
        <v>35</v>
      </c>
      <c r="F79">
        <v>38.9</v>
      </c>
      <c r="G79">
        <f>Table2[[#This Row],[Quantity]]*Table2[[#This Row],[Unit Price]]</f>
        <v>1361.5</v>
      </c>
    </row>
    <row r="80" spans="2:7" x14ac:dyDescent="0.25">
      <c r="B80" s="1">
        <v>46090</v>
      </c>
      <c r="C80" t="s">
        <v>36</v>
      </c>
      <c r="D80" t="s">
        <v>13</v>
      </c>
      <c r="E80">
        <v>4</v>
      </c>
      <c r="F80">
        <v>336.51</v>
      </c>
      <c r="G80">
        <f>Table2[[#This Row],[Quantity]]*Table2[[#This Row],[Unit Price]]</f>
        <v>1346.04</v>
      </c>
    </row>
    <row r="81" spans="2:7" x14ac:dyDescent="0.25">
      <c r="B81" s="1">
        <v>46109</v>
      </c>
      <c r="C81" t="s">
        <v>28</v>
      </c>
      <c r="D81" t="s">
        <v>8</v>
      </c>
      <c r="E81">
        <v>30</v>
      </c>
      <c r="F81">
        <v>44.78</v>
      </c>
      <c r="G81">
        <f>Table2[[#This Row],[Quantity]]*Table2[[#This Row],[Unit Price]]</f>
        <v>1343.4</v>
      </c>
    </row>
    <row r="82" spans="2:7" x14ac:dyDescent="0.25">
      <c r="B82" s="1">
        <v>46078</v>
      </c>
      <c r="C82" t="s">
        <v>5</v>
      </c>
      <c r="D82" t="s">
        <v>6</v>
      </c>
      <c r="E82">
        <v>15</v>
      </c>
      <c r="F82">
        <v>84.48</v>
      </c>
      <c r="G82">
        <f>Table2[[#This Row],[Quantity]]*Table2[[#This Row],[Unit Price]]</f>
        <v>1267.2</v>
      </c>
    </row>
    <row r="83" spans="2:7" x14ac:dyDescent="0.25">
      <c r="B83" s="1">
        <v>46096</v>
      </c>
      <c r="C83" t="s">
        <v>44</v>
      </c>
      <c r="D83" t="s">
        <v>23</v>
      </c>
      <c r="E83">
        <v>28</v>
      </c>
      <c r="F83">
        <v>42.4</v>
      </c>
      <c r="G83">
        <f>Table2[[#This Row],[Quantity]]*Table2[[#This Row],[Unit Price]]</f>
        <v>1187.2</v>
      </c>
    </row>
    <row r="84" spans="2:7" x14ac:dyDescent="0.25">
      <c r="B84" s="1">
        <v>46023</v>
      </c>
      <c r="C84" t="s">
        <v>5</v>
      </c>
      <c r="D84" t="s">
        <v>6</v>
      </c>
      <c r="E84">
        <v>2</v>
      </c>
      <c r="F84">
        <v>529.41999999999996</v>
      </c>
      <c r="G84">
        <f>Table2[[#This Row],[Quantity]]*Table2[[#This Row],[Unit Price]]</f>
        <v>1058.8399999999999</v>
      </c>
    </row>
    <row r="85" spans="2:7" x14ac:dyDescent="0.25">
      <c r="B85" s="1">
        <v>46115</v>
      </c>
      <c r="C85" t="s">
        <v>39</v>
      </c>
      <c r="D85" t="s">
        <v>16</v>
      </c>
      <c r="E85">
        <v>1</v>
      </c>
      <c r="F85">
        <v>1035.01</v>
      </c>
      <c r="G85">
        <f>Table2[[#This Row],[Quantity]]*Table2[[#This Row],[Unit Price]]</f>
        <v>1035.01</v>
      </c>
    </row>
    <row r="86" spans="2:7" x14ac:dyDescent="0.25">
      <c r="B86" s="1">
        <v>46056</v>
      </c>
      <c r="C86" t="s">
        <v>37</v>
      </c>
      <c r="D86" t="s">
        <v>23</v>
      </c>
      <c r="E86">
        <v>17</v>
      </c>
      <c r="F86">
        <v>58.32</v>
      </c>
      <c r="G86">
        <f>Table2[[#This Row],[Quantity]]*Table2[[#This Row],[Unit Price]]</f>
        <v>991.44</v>
      </c>
    </row>
    <row r="87" spans="2:7" x14ac:dyDescent="0.25">
      <c r="B87" s="1">
        <v>46114</v>
      </c>
      <c r="C87" t="s">
        <v>37</v>
      </c>
      <c r="D87" t="s">
        <v>23</v>
      </c>
      <c r="E87">
        <v>46</v>
      </c>
      <c r="F87">
        <v>19.55</v>
      </c>
      <c r="G87">
        <f>Table2[[#This Row],[Quantity]]*Table2[[#This Row],[Unit Price]]</f>
        <v>899.30000000000007</v>
      </c>
    </row>
    <row r="88" spans="2:7" x14ac:dyDescent="0.25">
      <c r="B88" s="1">
        <v>46117</v>
      </c>
      <c r="C88" t="s">
        <v>28</v>
      </c>
      <c r="D88" t="s">
        <v>8</v>
      </c>
      <c r="E88">
        <v>8</v>
      </c>
      <c r="F88">
        <v>107.87</v>
      </c>
      <c r="G88">
        <f>Table2[[#This Row],[Quantity]]*Table2[[#This Row],[Unit Price]]</f>
        <v>862.96</v>
      </c>
    </row>
    <row r="89" spans="2:7" x14ac:dyDescent="0.25">
      <c r="B89" s="1">
        <v>46024</v>
      </c>
      <c r="C89" t="s">
        <v>7</v>
      </c>
      <c r="D89" t="s">
        <v>8</v>
      </c>
      <c r="E89">
        <v>9</v>
      </c>
      <c r="F89">
        <v>91.01</v>
      </c>
      <c r="G89">
        <f>Table2[[#This Row],[Quantity]]*Table2[[#This Row],[Unit Price]]</f>
        <v>819.09</v>
      </c>
    </row>
    <row r="90" spans="2:7" x14ac:dyDescent="0.25">
      <c r="B90" s="1">
        <v>46041</v>
      </c>
      <c r="C90" t="s">
        <v>28</v>
      </c>
      <c r="D90" t="s">
        <v>8</v>
      </c>
      <c r="E90">
        <v>23</v>
      </c>
      <c r="F90">
        <v>33.049999999999997</v>
      </c>
      <c r="G90">
        <f>Table2[[#This Row],[Quantity]]*Table2[[#This Row],[Unit Price]]</f>
        <v>760.15</v>
      </c>
    </row>
    <row r="91" spans="2:7" x14ac:dyDescent="0.25">
      <c r="B91" s="1">
        <v>46110</v>
      </c>
      <c r="C91" t="s">
        <v>30</v>
      </c>
      <c r="D91" t="s">
        <v>16</v>
      </c>
      <c r="E91">
        <v>1</v>
      </c>
      <c r="F91">
        <v>741.6</v>
      </c>
      <c r="G91">
        <f>Table2[[#This Row],[Quantity]]*Table2[[#This Row],[Unit Price]]</f>
        <v>741.6</v>
      </c>
    </row>
    <row r="92" spans="2:7" x14ac:dyDescent="0.25">
      <c r="B92" s="1">
        <v>46035</v>
      </c>
      <c r="C92" t="s">
        <v>22</v>
      </c>
      <c r="D92" t="s">
        <v>23</v>
      </c>
      <c r="E92">
        <v>36</v>
      </c>
      <c r="F92">
        <v>19</v>
      </c>
      <c r="G92">
        <f>Table2[[#This Row],[Quantity]]*Table2[[#This Row],[Unit Price]]</f>
        <v>684</v>
      </c>
    </row>
    <row r="93" spans="2:7" x14ac:dyDescent="0.25">
      <c r="B93" s="1">
        <v>46103</v>
      </c>
      <c r="C93" t="s">
        <v>46</v>
      </c>
      <c r="D93" t="s">
        <v>8</v>
      </c>
      <c r="E93">
        <v>39</v>
      </c>
      <c r="F93">
        <v>17.48</v>
      </c>
      <c r="G93">
        <f>Table2[[#This Row],[Quantity]]*Table2[[#This Row],[Unit Price]]</f>
        <v>681.72</v>
      </c>
    </row>
    <row r="94" spans="2:7" x14ac:dyDescent="0.25">
      <c r="B94" s="1">
        <v>46098</v>
      </c>
      <c r="C94" t="s">
        <v>7</v>
      </c>
      <c r="D94" t="s">
        <v>8</v>
      </c>
      <c r="E94">
        <v>19</v>
      </c>
      <c r="F94">
        <v>33.950000000000003</v>
      </c>
      <c r="G94">
        <f>Table2[[#This Row],[Quantity]]*Table2[[#This Row],[Unit Price]]</f>
        <v>645.05000000000007</v>
      </c>
    </row>
    <row r="95" spans="2:7" x14ac:dyDescent="0.25">
      <c r="B95" s="1">
        <v>46108</v>
      </c>
      <c r="C95" t="s">
        <v>28</v>
      </c>
      <c r="D95" t="s">
        <v>8</v>
      </c>
      <c r="E95">
        <v>16</v>
      </c>
      <c r="F95">
        <v>39.22</v>
      </c>
      <c r="G95">
        <f>Table2[[#This Row],[Quantity]]*Table2[[#This Row],[Unit Price]]</f>
        <v>627.52</v>
      </c>
    </row>
    <row r="96" spans="2:7" x14ac:dyDescent="0.25">
      <c r="B96" s="1">
        <v>46102</v>
      </c>
      <c r="C96" t="s">
        <v>46</v>
      </c>
      <c r="D96" t="s">
        <v>8</v>
      </c>
      <c r="E96">
        <v>33</v>
      </c>
      <c r="F96">
        <v>18.809999999999999</v>
      </c>
      <c r="G96">
        <f>Table2[[#This Row],[Quantity]]*Table2[[#This Row],[Unit Price]]</f>
        <v>620.7299999999999</v>
      </c>
    </row>
    <row r="97" spans="2:7" x14ac:dyDescent="0.25">
      <c r="B97" s="1">
        <v>46027</v>
      </c>
      <c r="C97" t="s">
        <v>12</v>
      </c>
      <c r="D97" t="s">
        <v>13</v>
      </c>
      <c r="E97">
        <v>2</v>
      </c>
      <c r="F97">
        <v>293.79000000000002</v>
      </c>
      <c r="G97">
        <f>Table2[[#This Row],[Quantity]]*Table2[[#This Row],[Unit Price]]</f>
        <v>587.58000000000004</v>
      </c>
    </row>
    <row r="98" spans="2:7" x14ac:dyDescent="0.25">
      <c r="B98" s="1">
        <v>46122</v>
      </c>
      <c r="C98" t="s">
        <v>31</v>
      </c>
      <c r="D98" t="s">
        <v>16</v>
      </c>
      <c r="E98">
        <v>3</v>
      </c>
      <c r="F98">
        <v>104.96</v>
      </c>
      <c r="G98">
        <f>Table2[[#This Row],[Quantity]]*Table2[[#This Row],[Unit Price]]</f>
        <v>314.88</v>
      </c>
    </row>
    <row r="99" spans="2:7" x14ac:dyDescent="0.25">
      <c r="B99" s="1">
        <v>46100</v>
      </c>
      <c r="C99" t="s">
        <v>38</v>
      </c>
      <c r="D99" t="s">
        <v>6</v>
      </c>
      <c r="E99">
        <v>4</v>
      </c>
      <c r="F99">
        <v>73.09</v>
      </c>
      <c r="G99">
        <f>Table2[[#This Row],[Quantity]]*Table2[[#This Row],[Unit Price]]</f>
        <v>292.36</v>
      </c>
    </row>
    <row r="100" spans="2:7" x14ac:dyDescent="0.25">
      <c r="B100" s="1">
        <v>46075</v>
      </c>
      <c r="C100" t="s">
        <v>22</v>
      </c>
      <c r="D100" t="s">
        <v>23</v>
      </c>
      <c r="E100">
        <v>16</v>
      </c>
      <c r="F100">
        <v>15.03</v>
      </c>
      <c r="G100">
        <f>Table2[[#This Row],[Quantity]]*Table2[[#This Row],[Unit Price]]</f>
        <v>240.48</v>
      </c>
    </row>
    <row r="101" spans="2:7" x14ac:dyDescent="0.25">
      <c r="B101" s="1">
        <v>46060</v>
      </c>
      <c r="C101" t="s">
        <v>33</v>
      </c>
      <c r="D101" t="s">
        <v>8</v>
      </c>
      <c r="E101">
        <v>1</v>
      </c>
      <c r="F101">
        <v>114.92</v>
      </c>
      <c r="G101">
        <f>Table2[[#This Row],[Quantity]]*Table2[[#This Row],[Unit Price]]</f>
        <v>114.92</v>
      </c>
    </row>
    <row r="102" spans="2:7" x14ac:dyDescent="0.25">
      <c r="B102" s="1">
        <v>46077</v>
      </c>
      <c r="C102" t="s">
        <v>24</v>
      </c>
      <c r="D102" t="s">
        <v>13</v>
      </c>
      <c r="E102">
        <v>1</v>
      </c>
      <c r="F102">
        <v>63.37</v>
      </c>
      <c r="G102">
        <f>Table2[[#This Row],[Quantity]]*Table2[[#This Row],[Unit Price]]</f>
        <v>63.37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9BE5-1339-472F-9C10-82175AEB476B}">
  <dimension ref="B2:M103"/>
  <sheetViews>
    <sheetView workbookViewId="0">
      <selection activeCell="F27" sqref="F27"/>
    </sheetView>
  </sheetViews>
  <sheetFormatPr defaultRowHeight="15" x14ac:dyDescent="0.25"/>
  <cols>
    <col min="3" max="3" width="10.140625" customWidth="1"/>
    <col min="4" max="4" width="11.28515625" customWidth="1"/>
    <col min="5" max="5" width="10.85546875" customWidth="1"/>
    <col min="6" max="6" width="11.85546875" customWidth="1"/>
    <col min="7" max="7" width="11.28515625" bestFit="1" customWidth="1"/>
  </cols>
  <sheetData>
    <row r="2" spans="2:1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56</v>
      </c>
    </row>
    <row r="3" spans="2:13" hidden="1" x14ac:dyDescent="0.25">
      <c r="B3" s="1">
        <v>46023</v>
      </c>
      <c r="C3" t="s">
        <v>5</v>
      </c>
      <c r="D3" t="s">
        <v>6</v>
      </c>
      <c r="E3">
        <v>2</v>
      </c>
      <c r="F3">
        <v>529.41999999999996</v>
      </c>
      <c r="G3">
        <f>Table5[[#This Row],[Quantity]]*Table5[[#This Row],[Unit Price]]</f>
        <v>1058.8399999999999</v>
      </c>
    </row>
    <row r="4" spans="2:13" x14ac:dyDescent="0.25">
      <c r="B4" s="1">
        <v>46024</v>
      </c>
      <c r="C4" t="s">
        <v>7</v>
      </c>
      <c r="D4" t="s">
        <v>8</v>
      </c>
      <c r="E4">
        <v>9</v>
      </c>
      <c r="F4">
        <v>91.01</v>
      </c>
      <c r="G4">
        <f>Table5[[#This Row],[Quantity]]*Table5[[#This Row],[Unit Price]]</f>
        <v>819.09</v>
      </c>
    </row>
    <row r="5" spans="2:13" hidden="1" x14ac:dyDescent="0.25">
      <c r="B5" s="1">
        <v>46025</v>
      </c>
      <c r="C5" t="s">
        <v>9</v>
      </c>
      <c r="D5" t="s">
        <v>6</v>
      </c>
      <c r="E5">
        <v>6</v>
      </c>
      <c r="F5">
        <v>429.73</v>
      </c>
      <c r="G5">
        <f>Table5[[#This Row],[Quantity]]*Table5[[#This Row],[Unit Price]]</f>
        <v>2578.38</v>
      </c>
      <c r="M5" t="s">
        <v>51</v>
      </c>
    </row>
    <row r="6" spans="2:13" hidden="1" x14ac:dyDescent="0.25">
      <c r="B6" s="1">
        <v>46026</v>
      </c>
      <c r="C6" t="s">
        <v>10</v>
      </c>
      <c r="D6" t="s">
        <v>11</v>
      </c>
      <c r="E6">
        <v>6</v>
      </c>
      <c r="F6">
        <v>379.57</v>
      </c>
      <c r="G6">
        <f>Table5[[#This Row],[Quantity]]*Table5[[#This Row],[Unit Price]]</f>
        <v>2277.42</v>
      </c>
      <c r="M6" t="s">
        <v>52</v>
      </c>
    </row>
    <row r="7" spans="2:13" hidden="1" x14ac:dyDescent="0.25">
      <c r="B7" s="1">
        <v>46027</v>
      </c>
      <c r="C7" t="s">
        <v>12</v>
      </c>
      <c r="D7" t="s">
        <v>13</v>
      </c>
      <c r="E7">
        <v>2</v>
      </c>
      <c r="F7">
        <v>293.79000000000002</v>
      </c>
      <c r="G7">
        <f>Table5[[#This Row],[Quantity]]*Table5[[#This Row],[Unit Price]]</f>
        <v>587.58000000000004</v>
      </c>
    </row>
    <row r="8" spans="2:13" hidden="1" x14ac:dyDescent="0.25">
      <c r="B8" s="1">
        <v>46028</v>
      </c>
      <c r="C8" t="s">
        <v>9</v>
      </c>
      <c r="D8" t="s">
        <v>6</v>
      </c>
      <c r="E8">
        <v>27</v>
      </c>
      <c r="F8">
        <v>185.49</v>
      </c>
      <c r="G8">
        <f>Table5[[#This Row],[Quantity]]*Table5[[#This Row],[Unit Price]]</f>
        <v>5008.2300000000005</v>
      </c>
    </row>
    <row r="9" spans="2:13" hidden="1" x14ac:dyDescent="0.25">
      <c r="B9" s="1">
        <v>46029</v>
      </c>
      <c r="C9" t="s">
        <v>14</v>
      </c>
      <c r="D9" t="s">
        <v>13</v>
      </c>
      <c r="E9">
        <v>52</v>
      </c>
      <c r="F9">
        <v>438.57</v>
      </c>
      <c r="G9">
        <f>Table5[[#This Row],[Quantity]]*Table5[[#This Row],[Unit Price]]</f>
        <v>22805.64</v>
      </c>
    </row>
    <row r="10" spans="2:13" hidden="1" x14ac:dyDescent="0.25">
      <c r="B10" s="1">
        <v>46030</v>
      </c>
      <c r="C10" t="s">
        <v>15</v>
      </c>
      <c r="D10" t="s">
        <v>16</v>
      </c>
      <c r="E10">
        <v>45</v>
      </c>
      <c r="F10">
        <v>691.66</v>
      </c>
      <c r="G10">
        <f>Table5[[#This Row],[Quantity]]*Table5[[#This Row],[Unit Price]]</f>
        <v>31124.699999999997</v>
      </c>
    </row>
    <row r="11" spans="2:13" hidden="1" x14ac:dyDescent="0.25">
      <c r="B11" s="1">
        <v>46031</v>
      </c>
      <c r="C11" t="s">
        <v>17</v>
      </c>
      <c r="D11" t="s">
        <v>18</v>
      </c>
      <c r="E11">
        <v>14</v>
      </c>
      <c r="F11">
        <v>864.06</v>
      </c>
      <c r="G11">
        <f>Table5[[#This Row],[Quantity]]*Table5[[#This Row],[Unit Price]]</f>
        <v>12096.84</v>
      </c>
    </row>
    <row r="12" spans="2:13" hidden="1" x14ac:dyDescent="0.25">
      <c r="B12" s="1">
        <v>46032</v>
      </c>
      <c r="C12" t="s">
        <v>19</v>
      </c>
      <c r="D12" t="s">
        <v>18</v>
      </c>
      <c r="E12">
        <v>6</v>
      </c>
      <c r="F12">
        <v>379.14</v>
      </c>
      <c r="G12">
        <f>Table5[[#This Row],[Quantity]]*Table5[[#This Row],[Unit Price]]</f>
        <v>2274.84</v>
      </c>
    </row>
    <row r="13" spans="2:13" hidden="1" x14ac:dyDescent="0.25">
      <c r="B13" s="1">
        <v>46033</v>
      </c>
      <c r="C13" t="s">
        <v>20</v>
      </c>
      <c r="D13" t="s">
        <v>18</v>
      </c>
      <c r="E13">
        <v>39</v>
      </c>
      <c r="F13">
        <v>282.2</v>
      </c>
      <c r="G13">
        <f>Table5[[#This Row],[Quantity]]*Table5[[#This Row],[Unit Price]]</f>
        <v>11005.8</v>
      </c>
    </row>
    <row r="14" spans="2:13" hidden="1" x14ac:dyDescent="0.25">
      <c r="B14" s="1">
        <v>46034</v>
      </c>
      <c r="C14" t="s">
        <v>21</v>
      </c>
      <c r="D14" t="s">
        <v>11</v>
      </c>
      <c r="E14">
        <v>35</v>
      </c>
      <c r="F14">
        <v>281.07</v>
      </c>
      <c r="G14">
        <f>Table5[[#This Row],[Quantity]]*Table5[[#This Row],[Unit Price]]</f>
        <v>9837.4499999999989</v>
      </c>
    </row>
    <row r="15" spans="2:13" hidden="1" x14ac:dyDescent="0.25">
      <c r="B15" s="1">
        <v>46035</v>
      </c>
      <c r="C15" t="s">
        <v>22</v>
      </c>
      <c r="D15" t="s">
        <v>23</v>
      </c>
      <c r="E15">
        <v>36</v>
      </c>
      <c r="F15">
        <v>19</v>
      </c>
      <c r="G15">
        <f>Table5[[#This Row],[Quantity]]*Table5[[#This Row],[Unit Price]]</f>
        <v>684</v>
      </c>
    </row>
    <row r="16" spans="2:13" hidden="1" x14ac:dyDescent="0.25">
      <c r="B16" s="1">
        <v>46036</v>
      </c>
      <c r="C16" t="s">
        <v>9</v>
      </c>
      <c r="D16" t="s">
        <v>6</v>
      </c>
      <c r="E16">
        <v>57</v>
      </c>
      <c r="F16">
        <v>608.73</v>
      </c>
      <c r="G16">
        <f>Table5[[#This Row],[Quantity]]*Table5[[#This Row],[Unit Price]]</f>
        <v>34697.61</v>
      </c>
    </row>
    <row r="17" spans="2:10" hidden="1" x14ac:dyDescent="0.25">
      <c r="B17" s="1">
        <v>46037</v>
      </c>
      <c r="C17" t="s">
        <v>24</v>
      </c>
      <c r="D17" t="s">
        <v>13</v>
      </c>
      <c r="E17">
        <v>46</v>
      </c>
      <c r="F17">
        <v>62.69</v>
      </c>
      <c r="G17">
        <f>Table5[[#This Row],[Quantity]]*Table5[[#This Row],[Unit Price]]</f>
        <v>2883.74</v>
      </c>
    </row>
    <row r="18" spans="2:10" hidden="1" x14ac:dyDescent="0.25">
      <c r="B18" s="1">
        <v>46038</v>
      </c>
      <c r="C18" t="s">
        <v>25</v>
      </c>
      <c r="D18" t="s">
        <v>6</v>
      </c>
      <c r="E18">
        <v>50</v>
      </c>
      <c r="F18">
        <v>231</v>
      </c>
      <c r="G18">
        <f>Table5[[#This Row],[Quantity]]*Table5[[#This Row],[Unit Price]]</f>
        <v>11550</v>
      </c>
    </row>
    <row r="19" spans="2:10" hidden="1" x14ac:dyDescent="0.25">
      <c r="B19" s="1">
        <v>46039</v>
      </c>
      <c r="C19" t="s">
        <v>26</v>
      </c>
      <c r="D19" t="s">
        <v>11</v>
      </c>
      <c r="E19">
        <v>56</v>
      </c>
      <c r="F19">
        <v>256.05</v>
      </c>
      <c r="G19">
        <f>Table5[[#This Row],[Quantity]]*Table5[[#This Row],[Unit Price]]</f>
        <v>14338.800000000001</v>
      </c>
    </row>
    <row r="20" spans="2:10" hidden="1" x14ac:dyDescent="0.25">
      <c r="B20" s="1">
        <v>46040</v>
      </c>
      <c r="C20" t="s">
        <v>27</v>
      </c>
      <c r="D20" t="s">
        <v>18</v>
      </c>
      <c r="E20">
        <v>41</v>
      </c>
      <c r="F20">
        <v>760.65</v>
      </c>
      <c r="G20">
        <f>Table5[[#This Row],[Quantity]]*Table5[[#This Row],[Unit Price]]</f>
        <v>31186.649999999998</v>
      </c>
    </row>
    <row r="21" spans="2:10" x14ac:dyDescent="0.25">
      <c r="B21" s="1">
        <v>46041</v>
      </c>
      <c r="C21" t="s">
        <v>28</v>
      </c>
      <c r="D21" t="s">
        <v>8</v>
      </c>
      <c r="E21">
        <v>23</v>
      </c>
      <c r="F21">
        <v>33.049999999999997</v>
      </c>
      <c r="G21">
        <f>Table5[[#This Row],[Quantity]]*Table5[[#This Row],[Unit Price]]</f>
        <v>760.15</v>
      </c>
      <c r="J21" t="s">
        <v>48</v>
      </c>
    </row>
    <row r="22" spans="2:10" hidden="1" x14ac:dyDescent="0.25">
      <c r="B22" s="1">
        <v>46042</v>
      </c>
      <c r="C22" t="s">
        <v>19</v>
      </c>
      <c r="D22" t="s">
        <v>18</v>
      </c>
      <c r="E22">
        <v>39</v>
      </c>
      <c r="F22">
        <v>593.38</v>
      </c>
      <c r="G22">
        <f>Table5[[#This Row],[Quantity]]*Table5[[#This Row],[Unit Price]]</f>
        <v>23141.82</v>
      </c>
    </row>
    <row r="23" spans="2:10" hidden="1" x14ac:dyDescent="0.25">
      <c r="B23" s="1">
        <v>46043</v>
      </c>
      <c r="C23" t="s">
        <v>24</v>
      </c>
      <c r="D23" t="s">
        <v>13</v>
      </c>
      <c r="E23">
        <v>11</v>
      </c>
      <c r="F23">
        <v>247.26</v>
      </c>
      <c r="G23">
        <f>Table5[[#This Row],[Quantity]]*Table5[[#This Row],[Unit Price]]</f>
        <v>2719.8599999999997</v>
      </c>
    </row>
    <row r="24" spans="2:10" hidden="1" x14ac:dyDescent="0.25">
      <c r="B24" s="1">
        <v>46044</v>
      </c>
      <c r="C24" t="s">
        <v>29</v>
      </c>
      <c r="D24" t="s">
        <v>18</v>
      </c>
      <c r="E24">
        <v>15</v>
      </c>
      <c r="F24">
        <v>635.08000000000004</v>
      </c>
      <c r="G24">
        <f>Table5[[#This Row],[Quantity]]*Table5[[#This Row],[Unit Price]]</f>
        <v>9526.2000000000007</v>
      </c>
    </row>
    <row r="25" spans="2:10" hidden="1" x14ac:dyDescent="0.25">
      <c r="B25" s="1">
        <v>46045</v>
      </c>
      <c r="C25" t="s">
        <v>30</v>
      </c>
      <c r="D25" t="s">
        <v>16</v>
      </c>
      <c r="E25">
        <v>15</v>
      </c>
      <c r="F25">
        <v>1250.52</v>
      </c>
      <c r="G25">
        <f>Table5[[#This Row],[Quantity]]*Table5[[#This Row],[Unit Price]]</f>
        <v>18757.8</v>
      </c>
    </row>
    <row r="26" spans="2:10" hidden="1" x14ac:dyDescent="0.25">
      <c r="B26" s="1">
        <v>46046</v>
      </c>
      <c r="C26" t="s">
        <v>31</v>
      </c>
      <c r="D26" t="s">
        <v>16</v>
      </c>
      <c r="E26">
        <v>26</v>
      </c>
      <c r="F26">
        <v>474.84</v>
      </c>
      <c r="G26">
        <f>Table5[[#This Row],[Quantity]]*Table5[[#This Row],[Unit Price]]</f>
        <v>12345.84</v>
      </c>
    </row>
    <row r="27" spans="2:10" x14ac:dyDescent="0.25">
      <c r="B27" s="1">
        <v>46047</v>
      </c>
      <c r="C27" t="s">
        <v>32</v>
      </c>
      <c r="D27" t="s">
        <v>8</v>
      </c>
      <c r="E27">
        <v>57</v>
      </c>
      <c r="F27">
        <v>88.97</v>
      </c>
      <c r="G27">
        <f>Table5[[#This Row],[Quantity]]*Table5[[#This Row],[Unit Price]]</f>
        <v>5071.29</v>
      </c>
    </row>
    <row r="28" spans="2:10" x14ac:dyDescent="0.25">
      <c r="B28" s="1">
        <v>46048</v>
      </c>
      <c r="C28" t="s">
        <v>33</v>
      </c>
      <c r="D28" t="s">
        <v>8</v>
      </c>
      <c r="E28">
        <v>26</v>
      </c>
      <c r="F28">
        <v>107.32</v>
      </c>
      <c r="G28">
        <f>Table5[[#This Row],[Quantity]]*Table5[[#This Row],[Unit Price]]</f>
        <v>2790.3199999999997</v>
      </c>
      <c r="J28" t="s">
        <v>58</v>
      </c>
    </row>
    <row r="29" spans="2:10" hidden="1" x14ac:dyDescent="0.25">
      <c r="B29" s="1">
        <v>46049</v>
      </c>
      <c r="C29" t="s">
        <v>34</v>
      </c>
      <c r="D29" t="s">
        <v>6</v>
      </c>
      <c r="E29">
        <v>10</v>
      </c>
      <c r="F29">
        <v>214.82</v>
      </c>
      <c r="G29">
        <f>Table5[[#This Row],[Quantity]]*Table5[[#This Row],[Unit Price]]</f>
        <v>2148.1999999999998</v>
      </c>
      <c r="J29" t="s">
        <v>53</v>
      </c>
    </row>
    <row r="30" spans="2:10" x14ac:dyDescent="0.25">
      <c r="B30" s="1">
        <v>46050</v>
      </c>
      <c r="C30" t="s">
        <v>32</v>
      </c>
      <c r="D30" t="s">
        <v>8</v>
      </c>
      <c r="E30">
        <v>35</v>
      </c>
      <c r="F30">
        <v>38.9</v>
      </c>
      <c r="G30">
        <f>Table5[[#This Row],[Quantity]]*Table5[[#This Row],[Unit Price]]</f>
        <v>1361.5</v>
      </c>
      <c r="J30" t="s">
        <v>57</v>
      </c>
    </row>
    <row r="31" spans="2:10" hidden="1" x14ac:dyDescent="0.25">
      <c r="B31" s="1">
        <v>46051</v>
      </c>
      <c r="C31" t="s">
        <v>35</v>
      </c>
      <c r="D31" t="s">
        <v>13</v>
      </c>
      <c r="E31">
        <v>58</v>
      </c>
      <c r="F31">
        <v>304.26</v>
      </c>
      <c r="G31">
        <f>Table5[[#This Row],[Quantity]]*Table5[[#This Row],[Unit Price]]</f>
        <v>17647.079999999998</v>
      </c>
    </row>
    <row r="32" spans="2:10" hidden="1" x14ac:dyDescent="0.25">
      <c r="B32" s="1">
        <v>46052</v>
      </c>
      <c r="C32" t="s">
        <v>17</v>
      </c>
      <c r="D32" t="s">
        <v>18</v>
      </c>
      <c r="E32">
        <v>9</v>
      </c>
      <c r="F32">
        <v>488</v>
      </c>
      <c r="G32">
        <f>Table5[[#This Row],[Quantity]]*Table5[[#This Row],[Unit Price]]</f>
        <v>4392</v>
      </c>
    </row>
    <row r="33" spans="2:7" hidden="1" x14ac:dyDescent="0.25">
      <c r="B33" s="1">
        <v>46053</v>
      </c>
      <c r="C33" t="s">
        <v>10</v>
      </c>
      <c r="D33" t="s">
        <v>11</v>
      </c>
      <c r="E33">
        <v>56</v>
      </c>
      <c r="F33">
        <v>265.13</v>
      </c>
      <c r="G33">
        <f>Table5[[#This Row],[Quantity]]*Table5[[#This Row],[Unit Price]]</f>
        <v>14847.279999999999</v>
      </c>
    </row>
    <row r="34" spans="2:7" hidden="1" x14ac:dyDescent="0.25">
      <c r="B34" s="1">
        <v>46054</v>
      </c>
      <c r="C34" t="s">
        <v>25</v>
      </c>
      <c r="D34" t="s">
        <v>6</v>
      </c>
      <c r="E34">
        <v>51</v>
      </c>
      <c r="F34">
        <v>489.12</v>
      </c>
      <c r="G34">
        <f>Table5[[#This Row],[Quantity]]*Table5[[#This Row],[Unit Price]]</f>
        <v>24945.119999999999</v>
      </c>
    </row>
    <row r="35" spans="2:7" hidden="1" x14ac:dyDescent="0.25">
      <c r="B35" s="1">
        <v>46055</v>
      </c>
      <c r="C35" t="s">
        <v>36</v>
      </c>
      <c r="D35" t="s">
        <v>13</v>
      </c>
      <c r="E35">
        <v>25</v>
      </c>
      <c r="F35">
        <v>209.36</v>
      </c>
      <c r="G35">
        <f>Table5[[#This Row],[Quantity]]*Table5[[#This Row],[Unit Price]]</f>
        <v>5234</v>
      </c>
    </row>
    <row r="36" spans="2:7" hidden="1" x14ac:dyDescent="0.25">
      <c r="B36" s="1">
        <v>46056</v>
      </c>
      <c r="C36" t="s">
        <v>37</v>
      </c>
      <c r="D36" t="s">
        <v>23</v>
      </c>
      <c r="E36">
        <v>17</v>
      </c>
      <c r="F36">
        <v>58.32</v>
      </c>
      <c r="G36">
        <f>Table5[[#This Row],[Quantity]]*Table5[[#This Row],[Unit Price]]</f>
        <v>991.44</v>
      </c>
    </row>
    <row r="37" spans="2:7" hidden="1" x14ac:dyDescent="0.25">
      <c r="B37" s="1">
        <v>46057</v>
      </c>
      <c r="C37" t="s">
        <v>30</v>
      </c>
      <c r="D37" t="s">
        <v>16</v>
      </c>
      <c r="E37">
        <v>44</v>
      </c>
      <c r="F37">
        <v>1109.01</v>
      </c>
      <c r="G37">
        <f>Table5[[#This Row],[Quantity]]*Table5[[#This Row],[Unit Price]]</f>
        <v>48796.44</v>
      </c>
    </row>
    <row r="38" spans="2:7" hidden="1" x14ac:dyDescent="0.25">
      <c r="B38" s="1">
        <v>46058</v>
      </c>
      <c r="C38" t="s">
        <v>9</v>
      </c>
      <c r="D38" t="s">
        <v>6</v>
      </c>
      <c r="E38">
        <v>49</v>
      </c>
      <c r="F38">
        <v>216.1</v>
      </c>
      <c r="G38">
        <f>Table5[[#This Row],[Quantity]]*Table5[[#This Row],[Unit Price]]</f>
        <v>10588.9</v>
      </c>
    </row>
    <row r="39" spans="2:7" hidden="1" x14ac:dyDescent="0.25">
      <c r="B39" s="1">
        <v>46059</v>
      </c>
      <c r="C39" t="s">
        <v>38</v>
      </c>
      <c r="D39" t="s">
        <v>6</v>
      </c>
      <c r="E39">
        <v>8</v>
      </c>
      <c r="F39">
        <v>233.71</v>
      </c>
      <c r="G39">
        <f>Table5[[#This Row],[Quantity]]*Table5[[#This Row],[Unit Price]]</f>
        <v>1869.68</v>
      </c>
    </row>
    <row r="40" spans="2:7" x14ac:dyDescent="0.25">
      <c r="B40" s="1">
        <v>46060</v>
      </c>
      <c r="C40" t="s">
        <v>33</v>
      </c>
      <c r="D40" t="s">
        <v>8</v>
      </c>
      <c r="E40">
        <v>1</v>
      </c>
      <c r="F40">
        <v>114.92</v>
      </c>
      <c r="G40">
        <f>Table5[[#This Row],[Quantity]]*Table5[[#This Row],[Unit Price]]</f>
        <v>114.92</v>
      </c>
    </row>
    <row r="41" spans="2:7" hidden="1" x14ac:dyDescent="0.25">
      <c r="B41" s="1">
        <v>46061</v>
      </c>
      <c r="C41" t="s">
        <v>38</v>
      </c>
      <c r="D41" t="s">
        <v>6</v>
      </c>
      <c r="E41">
        <v>33</v>
      </c>
      <c r="F41">
        <v>542.9</v>
      </c>
      <c r="G41">
        <f>Table5[[#This Row],[Quantity]]*Table5[[#This Row],[Unit Price]]</f>
        <v>17915.7</v>
      </c>
    </row>
    <row r="42" spans="2:7" hidden="1" x14ac:dyDescent="0.25">
      <c r="B42" s="1">
        <v>46062</v>
      </c>
      <c r="C42" t="s">
        <v>36</v>
      </c>
      <c r="D42" t="s">
        <v>13</v>
      </c>
      <c r="E42">
        <v>56</v>
      </c>
      <c r="F42">
        <v>323.89</v>
      </c>
      <c r="G42">
        <f>Table5[[#This Row],[Quantity]]*Table5[[#This Row],[Unit Price]]</f>
        <v>18137.84</v>
      </c>
    </row>
    <row r="43" spans="2:7" hidden="1" x14ac:dyDescent="0.25">
      <c r="B43" s="1">
        <v>46063</v>
      </c>
      <c r="C43" t="s">
        <v>39</v>
      </c>
      <c r="D43" t="s">
        <v>16</v>
      </c>
      <c r="E43">
        <v>39</v>
      </c>
      <c r="F43">
        <v>378.48</v>
      </c>
      <c r="G43">
        <f>Table5[[#This Row],[Quantity]]*Table5[[#This Row],[Unit Price]]</f>
        <v>14760.720000000001</v>
      </c>
    </row>
    <row r="44" spans="2:7" hidden="1" x14ac:dyDescent="0.25">
      <c r="B44" s="1">
        <v>46064</v>
      </c>
      <c r="C44" t="s">
        <v>17</v>
      </c>
      <c r="D44" t="s">
        <v>18</v>
      </c>
      <c r="E44">
        <v>35</v>
      </c>
      <c r="F44">
        <v>860.94</v>
      </c>
      <c r="G44">
        <f>Table5[[#This Row],[Quantity]]*Table5[[#This Row],[Unit Price]]</f>
        <v>30132.9</v>
      </c>
    </row>
    <row r="45" spans="2:7" hidden="1" x14ac:dyDescent="0.25">
      <c r="B45" s="1">
        <v>46065</v>
      </c>
      <c r="C45" t="s">
        <v>36</v>
      </c>
      <c r="D45" t="s">
        <v>13</v>
      </c>
      <c r="E45">
        <v>39</v>
      </c>
      <c r="F45">
        <v>182.35</v>
      </c>
      <c r="G45">
        <f>Table5[[#This Row],[Quantity]]*Table5[[#This Row],[Unit Price]]</f>
        <v>7111.65</v>
      </c>
    </row>
    <row r="46" spans="2:7" hidden="1" x14ac:dyDescent="0.25">
      <c r="B46" s="1">
        <v>46066</v>
      </c>
      <c r="C46" t="s">
        <v>10</v>
      </c>
      <c r="D46" t="s">
        <v>11</v>
      </c>
      <c r="E46">
        <v>60</v>
      </c>
      <c r="F46">
        <v>531.13</v>
      </c>
      <c r="G46">
        <f>Table5[[#This Row],[Quantity]]*Table5[[#This Row],[Unit Price]]</f>
        <v>31867.8</v>
      </c>
    </row>
    <row r="47" spans="2:7" hidden="1" x14ac:dyDescent="0.25">
      <c r="B47" s="1">
        <v>46067</v>
      </c>
      <c r="C47" t="s">
        <v>31</v>
      </c>
      <c r="D47" t="s">
        <v>16</v>
      </c>
      <c r="E47">
        <v>16</v>
      </c>
      <c r="F47">
        <v>181.1</v>
      </c>
      <c r="G47">
        <f>Table5[[#This Row],[Quantity]]*Table5[[#This Row],[Unit Price]]</f>
        <v>2897.6</v>
      </c>
    </row>
    <row r="48" spans="2:7" hidden="1" x14ac:dyDescent="0.25">
      <c r="B48" s="1">
        <v>46068</v>
      </c>
      <c r="C48" t="s">
        <v>36</v>
      </c>
      <c r="D48" t="s">
        <v>13</v>
      </c>
      <c r="E48">
        <v>6</v>
      </c>
      <c r="F48">
        <v>374</v>
      </c>
      <c r="G48">
        <f>Table5[[#This Row],[Quantity]]*Table5[[#This Row],[Unit Price]]</f>
        <v>2244</v>
      </c>
    </row>
    <row r="49" spans="2:7" hidden="1" x14ac:dyDescent="0.25">
      <c r="B49" s="1">
        <v>46069</v>
      </c>
      <c r="C49" t="s">
        <v>30</v>
      </c>
      <c r="D49" t="s">
        <v>16</v>
      </c>
      <c r="E49">
        <v>49</v>
      </c>
      <c r="F49">
        <v>845.79</v>
      </c>
      <c r="G49">
        <f>Table5[[#This Row],[Quantity]]*Table5[[#This Row],[Unit Price]]</f>
        <v>41443.71</v>
      </c>
    </row>
    <row r="50" spans="2:7" x14ac:dyDescent="0.25">
      <c r="B50" s="1">
        <v>46070</v>
      </c>
      <c r="C50" t="s">
        <v>7</v>
      </c>
      <c r="D50" t="s">
        <v>8</v>
      </c>
      <c r="E50">
        <v>43</v>
      </c>
      <c r="F50">
        <v>62.28</v>
      </c>
      <c r="G50">
        <f>Table5[[#This Row],[Quantity]]*Table5[[#This Row],[Unit Price]]</f>
        <v>2678.04</v>
      </c>
    </row>
    <row r="51" spans="2:7" hidden="1" x14ac:dyDescent="0.25">
      <c r="B51" s="1">
        <v>46071</v>
      </c>
      <c r="C51" t="s">
        <v>24</v>
      </c>
      <c r="D51" t="s">
        <v>13</v>
      </c>
      <c r="E51">
        <v>17</v>
      </c>
      <c r="F51">
        <v>278.01</v>
      </c>
      <c r="G51">
        <f>Table5[[#This Row],[Quantity]]*Table5[[#This Row],[Unit Price]]</f>
        <v>4726.17</v>
      </c>
    </row>
    <row r="52" spans="2:7" hidden="1" x14ac:dyDescent="0.25">
      <c r="B52" s="1">
        <v>46072</v>
      </c>
      <c r="C52" t="s">
        <v>35</v>
      </c>
      <c r="D52" t="s">
        <v>13</v>
      </c>
      <c r="E52">
        <v>14</v>
      </c>
      <c r="F52">
        <v>466.59</v>
      </c>
      <c r="G52">
        <f>Table5[[#This Row],[Quantity]]*Table5[[#This Row],[Unit Price]]</f>
        <v>6532.2599999999993</v>
      </c>
    </row>
    <row r="53" spans="2:7" hidden="1" x14ac:dyDescent="0.25">
      <c r="B53" s="1">
        <v>46073</v>
      </c>
      <c r="C53" t="s">
        <v>15</v>
      </c>
      <c r="D53" t="s">
        <v>16</v>
      </c>
      <c r="E53">
        <v>46</v>
      </c>
      <c r="F53">
        <v>536.4</v>
      </c>
      <c r="G53">
        <f>Table5[[#This Row],[Quantity]]*Table5[[#This Row],[Unit Price]]</f>
        <v>24674.399999999998</v>
      </c>
    </row>
    <row r="54" spans="2:7" hidden="1" x14ac:dyDescent="0.25">
      <c r="B54" s="1">
        <v>46074</v>
      </c>
      <c r="C54" t="s">
        <v>38</v>
      </c>
      <c r="D54" t="s">
        <v>6</v>
      </c>
      <c r="E54">
        <v>29</v>
      </c>
      <c r="F54">
        <v>633.75</v>
      </c>
      <c r="G54">
        <f>Table5[[#This Row],[Quantity]]*Table5[[#This Row],[Unit Price]]</f>
        <v>18378.75</v>
      </c>
    </row>
    <row r="55" spans="2:7" hidden="1" x14ac:dyDescent="0.25">
      <c r="B55" s="1">
        <v>46075</v>
      </c>
      <c r="C55" t="s">
        <v>22</v>
      </c>
      <c r="D55" t="s">
        <v>23</v>
      </c>
      <c r="E55">
        <v>16</v>
      </c>
      <c r="F55">
        <v>15.03</v>
      </c>
      <c r="G55">
        <f>Table5[[#This Row],[Quantity]]*Table5[[#This Row],[Unit Price]]</f>
        <v>240.48</v>
      </c>
    </row>
    <row r="56" spans="2:7" hidden="1" x14ac:dyDescent="0.25">
      <c r="B56" s="1">
        <v>46076</v>
      </c>
      <c r="C56" t="s">
        <v>19</v>
      </c>
      <c r="D56" t="s">
        <v>18</v>
      </c>
      <c r="E56">
        <v>38</v>
      </c>
      <c r="F56">
        <v>525.29</v>
      </c>
      <c r="G56">
        <f>Table5[[#This Row],[Quantity]]*Table5[[#This Row],[Unit Price]]</f>
        <v>19961.019999999997</v>
      </c>
    </row>
    <row r="57" spans="2:7" hidden="1" x14ac:dyDescent="0.25">
      <c r="B57" s="1">
        <v>46077</v>
      </c>
      <c r="C57" t="s">
        <v>24</v>
      </c>
      <c r="D57" t="s">
        <v>13</v>
      </c>
      <c r="E57">
        <v>1</v>
      </c>
      <c r="F57">
        <v>63.37</v>
      </c>
      <c r="G57">
        <f>Table5[[#This Row],[Quantity]]*Table5[[#This Row],[Unit Price]]</f>
        <v>63.37</v>
      </c>
    </row>
    <row r="58" spans="2:7" hidden="1" x14ac:dyDescent="0.25">
      <c r="B58" s="1">
        <v>46078</v>
      </c>
      <c r="C58" t="s">
        <v>5</v>
      </c>
      <c r="D58" t="s">
        <v>6</v>
      </c>
      <c r="E58">
        <v>15</v>
      </c>
      <c r="F58">
        <v>84.48</v>
      </c>
      <c r="G58">
        <f>Table5[[#This Row],[Quantity]]*Table5[[#This Row],[Unit Price]]</f>
        <v>1267.2</v>
      </c>
    </row>
    <row r="59" spans="2:7" hidden="1" x14ac:dyDescent="0.25">
      <c r="B59" s="1">
        <v>46079</v>
      </c>
      <c r="C59" t="s">
        <v>40</v>
      </c>
      <c r="D59" t="s">
        <v>11</v>
      </c>
      <c r="E59">
        <v>5</v>
      </c>
      <c r="F59">
        <v>689.86</v>
      </c>
      <c r="G59">
        <f>Table5[[#This Row],[Quantity]]*Table5[[#This Row],[Unit Price]]</f>
        <v>3449.3</v>
      </c>
    </row>
    <row r="60" spans="2:7" hidden="1" x14ac:dyDescent="0.25">
      <c r="B60" s="1">
        <v>46080</v>
      </c>
      <c r="C60" t="s">
        <v>27</v>
      </c>
      <c r="D60" t="s">
        <v>18</v>
      </c>
      <c r="E60">
        <v>14</v>
      </c>
      <c r="F60">
        <v>512.96</v>
      </c>
      <c r="G60">
        <f>Table5[[#This Row],[Quantity]]*Table5[[#This Row],[Unit Price]]</f>
        <v>7181.4400000000005</v>
      </c>
    </row>
    <row r="61" spans="2:7" hidden="1" x14ac:dyDescent="0.25">
      <c r="B61" s="1">
        <v>46081</v>
      </c>
      <c r="C61" t="s">
        <v>9</v>
      </c>
      <c r="D61" t="s">
        <v>6</v>
      </c>
      <c r="E61">
        <v>37</v>
      </c>
      <c r="F61">
        <v>351.96</v>
      </c>
      <c r="G61">
        <f>Table5[[#This Row],[Quantity]]*Table5[[#This Row],[Unit Price]]</f>
        <v>13022.519999999999</v>
      </c>
    </row>
    <row r="62" spans="2:7" hidden="1" x14ac:dyDescent="0.25">
      <c r="B62" s="1">
        <v>46082</v>
      </c>
      <c r="C62" t="s">
        <v>41</v>
      </c>
      <c r="D62" t="s">
        <v>16</v>
      </c>
      <c r="E62">
        <v>52</v>
      </c>
      <c r="F62">
        <v>669.88</v>
      </c>
      <c r="G62">
        <f>Table5[[#This Row],[Quantity]]*Table5[[#This Row],[Unit Price]]</f>
        <v>34833.760000000002</v>
      </c>
    </row>
    <row r="63" spans="2:7" hidden="1" x14ac:dyDescent="0.25">
      <c r="B63" s="1">
        <v>46083</v>
      </c>
      <c r="C63" t="s">
        <v>10</v>
      </c>
      <c r="D63" t="s">
        <v>11</v>
      </c>
      <c r="E63">
        <v>43</v>
      </c>
      <c r="F63">
        <v>602.6</v>
      </c>
      <c r="G63">
        <f>Table5[[#This Row],[Quantity]]*Table5[[#This Row],[Unit Price]]</f>
        <v>25911.8</v>
      </c>
    </row>
    <row r="64" spans="2:7" hidden="1" x14ac:dyDescent="0.25">
      <c r="B64" s="1">
        <v>46084</v>
      </c>
      <c r="C64" t="s">
        <v>42</v>
      </c>
      <c r="D64" t="s">
        <v>23</v>
      </c>
      <c r="E64">
        <v>30</v>
      </c>
      <c r="F64">
        <v>52.1</v>
      </c>
      <c r="G64">
        <f>Table5[[#This Row],[Quantity]]*Table5[[#This Row],[Unit Price]]</f>
        <v>1563</v>
      </c>
    </row>
    <row r="65" spans="2:7" hidden="1" x14ac:dyDescent="0.25">
      <c r="B65" s="1">
        <v>46085</v>
      </c>
      <c r="C65" t="s">
        <v>10</v>
      </c>
      <c r="D65" t="s">
        <v>11</v>
      </c>
      <c r="E65">
        <v>4</v>
      </c>
      <c r="F65">
        <v>572.75</v>
      </c>
      <c r="G65">
        <f>Table5[[#This Row],[Quantity]]*Table5[[#This Row],[Unit Price]]</f>
        <v>2291</v>
      </c>
    </row>
    <row r="66" spans="2:7" hidden="1" x14ac:dyDescent="0.25">
      <c r="B66" s="1">
        <v>46086</v>
      </c>
      <c r="C66" t="s">
        <v>19</v>
      </c>
      <c r="D66" t="s">
        <v>18</v>
      </c>
      <c r="E66">
        <v>16</v>
      </c>
      <c r="F66">
        <v>220.94</v>
      </c>
      <c r="G66">
        <f>Table5[[#This Row],[Quantity]]*Table5[[#This Row],[Unit Price]]</f>
        <v>3535.04</v>
      </c>
    </row>
    <row r="67" spans="2:7" hidden="1" x14ac:dyDescent="0.25">
      <c r="B67" s="1">
        <v>46087</v>
      </c>
      <c r="C67" t="s">
        <v>35</v>
      </c>
      <c r="D67" t="s">
        <v>13</v>
      </c>
      <c r="E67">
        <v>9</v>
      </c>
      <c r="F67">
        <v>228.28</v>
      </c>
      <c r="G67">
        <f>Table5[[#This Row],[Quantity]]*Table5[[#This Row],[Unit Price]]</f>
        <v>2054.52</v>
      </c>
    </row>
    <row r="68" spans="2:7" hidden="1" x14ac:dyDescent="0.25">
      <c r="B68" s="1">
        <v>46088</v>
      </c>
      <c r="C68" t="s">
        <v>27</v>
      </c>
      <c r="D68" t="s">
        <v>18</v>
      </c>
      <c r="E68">
        <v>16</v>
      </c>
      <c r="F68">
        <v>794.57</v>
      </c>
      <c r="G68">
        <f>Table5[[#This Row],[Quantity]]*Table5[[#This Row],[Unit Price]]</f>
        <v>12713.12</v>
      </c>
    </row>
    <row r="69" spans="2:7" hidden="1" x14ac:dyDescent="0.25">
      <c r="B69" s="1">
        <v>46089</v>
      </c>
      <c r="C69" t="s">
        <v>21</v>
      </c>
      <c r="D69" t="s">
        <v>11</v>
      </c>
      <c r="E69">
        <v>52</v>
      </c>
      <c r="F69">
        <v>1054.42</v>
      </c>
      <c r="G69">
        <f>Table5[[#This Row],[Quantity]]*Table5[[#This Row],[Unit Price]]</f>
        <v>54829.840000000004</v>
      </c>
    </row>
    <row r="70" spans="2:7" hidden="1" x14ac:dyDescent="0.25">
      <c r="B70" s="1">
        <v>46090</v>
      </c>
      <c r="C70" t="s">
        <v>36</v>
      </c>
      <c r="D70" t="s">
        <v>13</v>
      </c>
      <c r="E70">
        <v>4</v>
      </c>
      <c r="F70">
        <v>336.51</v>
      </c>
      <c r="G70">
        <f>Table5[[#This Row],[Quantity]]*Table5[[#This Row],[Unit Price]]</f>
        <v>1346.04</v>
      </c>
    </row>
    <row r="71" spans="2:7" hidden="1" x14ac:dyDescent="0.25">
      <c r="B71" s="1">
        <v>46091</v>
      </c>
      <c r="C71" t="s">
        <v>36</v>
      </c>
      <c r="D71" t="s">
        <v>13</v>
      </c>
      <c r="E71">
        <v>6</v>
      </c>
      <c r="F71">
        <v>465.39</v>
      </c>
      <c r="G71">
        <f>Table5[[#This Row],[Quantity]]*Table5[[#This Row],[Unit Price]]</f>
        <v>2792.34</v>
      </c>
    </row>
    <row r="72" spans="2:7" hidden="1" x14ac:dyDescent="0.25">
      <c r="B72" s="1">
        <v>46092</v>
      </c>
      <c r="C72" t="s">
        <v>15</v>
      </c>
      <c r="D72" t="s">
        <v>16</v>
      </c>
      <c r="E72">
        <v>11</v>
      </c>
      <c r="F72">
        <v>668.98</v>
      </c>
      <c r="G72">
        <f>Table5[[#This Row],[Quantity]]*Table5[[#This Row],[Unit Price]]</f>
        <v>7358.7800000000007</v>
      </c>
    </row>
    <row r="73" spans="2:7" hidden="1" x14ac:dyDescent="0.25">
      <c r="B73" s="1">
        <v>46093</v>
      </c>
      <c r="C73" t="s">
        <v>43</v>
      </c>
      <c r="D73" t="s">
        <v>23</v>
      </c>
      <c r="E73">
        <v>56</v>
      </c>
      <c r="F73">
        <v>25.26</v>
      </c>
      <c r="G73">
        <f>Table5[[#This Row],[Quantity]]*Table5[[#This Row],[Unit Price]]</f>
        <v>1414.5600000000002</v>
      </c>
    </row>
    <row r="74" spans="2:7" hidden="1" x14ac:dyDescent="0.25">
      <c r="B74" s="1">
        <v>46094</v>
      </c>
      <c r="C74" t="s">
        <v>26</v>
      </c>
      <c r="D74" t="s">
        <v>11</v>
      </c>
      <c r="E74">
        <v>25</v>
      </c>
      <c r="F74">
        <v>152.26</v>
      </c>
      <c r="G74">
        <f>Table5[[#This Row],[Quantity]]*Table5[[#This Row],[Unit Price]]</f>
        <v>3806.5</v>
      </c>
    </row>
    <row r="75" spans="2:7" hidden="1" x14ac:dyDescent="0.25">
      <c r="B75" s="1">
        <v>46095</v>
      </c>
      <c r="C75" t="s">
        <v>44</v>
      </c>
      <c r="D75" t="s">
        <v>23</v>
      </c>
      <c r="E75">
        <v>60</v>
      </c>
      <c r="F75">
        <v>47.48</v>
      </c>
      <c r="G75">
        <f>Table5[[#This Row],[Quantity]]*Table5[[#This Row],[Unit Price]]</f>
        <v>2848.7999999999997</v>
      </c>
    </row>
    <row r="76" spans="2:7" hidden="1" x14ac:dyDescent="0.25">
      <c r="B76" s="1">
        <v>46096</v>
      </c>
      <c r="C76" t="s">
        <v>44</v>
      </c>
      <c r="D76" t="s">
        <v>23</v>
      </c>
      <c r="E76">
        <v>28</v>
      </c>
      <c r="F76">
        <v>42.4</v>
      </c>
      <c r="G76">
        <f>Table5[[#This Row],[Quantity]]*Table5[[#This Row],[Unit Price]]</f>
        <v>1187.2</v>
      </c>
    </row>
    <row r="77" spans="2:7" hidden="1" x14ac:dyDescent="0.25">
      <c r="B77" s="1">
        <v>46097</v>
      </c>
      <c r="C77" t="s">
        <v>9</v>
      </c>
      <c r="D77" t="s">
        <v>6</v>
      </c>
      <c r="E77">
        <v>43</v>
      </c>
      <c r="F77">
        <v>514.15</v>
      </c>
      <c r="G77">
        <f>Table5[[#This Row],[Quantity]]*Table5[[#This Row],[Unit Price]]</f>
        <v>22108.45</v>
      </c>
    </row>
    <row r="78" spans="2:7" x14ac:dyDescent="0.25">
      <c r="B78" s="1">
        <v>46098</v>
      </c>
      <c r="C78" t="s">
        <v>7</v>
      </c>
      <c r="D78" t="s">
        <v>8</v>
      </c>
      <c r="E78">
        <v>19</v>
      </c>
      <c r="F78">
        <v>33.950000000000003</v>
      </c>
      <c r="G78">
        <f>Table5[[#This Row],[Quantity]]*Table5[[#This Row],[Unit Price]]</f>
        <v>645.05000000000007</v>
      </c>
    </row>
    <row r="79" spans="2:7" hidden="1" x14ac:dyDescent="0.25">
      <c r="B79" s="1">
        <v>46099</v>
      </c>
      <c r="C79" t="s">
        <v>45</v>
      </c>
      <c r="D79" t="s">
        <v>11</v>
      </c>
      <c r="E79">
        <v>48</v>
      </c>
      <c r="F79">
        <v>719.3</v>
      </c>
      <c r="G79">
        <f>Table5[[#This Row],[Quantity]]*Table5[[#This Row],[Unit Price]]</f>
        <v>34526.399999999994</v>
      </c>
    </row>
    <row r="80" spans="2:7" hidden="1" x14ac:dyDescent="0.25">
      <c r="B80" s="1">
        <v>46100</v>
      </c>
      <c r="C80" t="s">
        <v>38</v>
      </c>
      <c r="D80" t="s">
        <v>6</v>
      </c>
      <c r="E80">
        <v>4</v>
      </c>
      <c r="F80">
        <v>73.09</v>
      </c>
      <c r="G80">
        <f>Table5[[#This Row],[Quantity]]*Table5[[#This Row],[Unit Price]]</f>
        <v>292.36</v>
      </c>
    </row>
    <row r="81" spans="2:7" hidden="1" x14ac:dyDescent="0.25">
      <c r="B81" s="1">
        <v>46101</v>
      </c>
      <c r="C81" t="s">
        <v>37</v>
      </c>
      <c r="D81" t="s">
        <v>23</v>
      </c>
      <c r="E81">
        <v>59</v>
      </c>
      <c r="F81">
        <v>51.46</v>
      </c>
      <c r="G81">
        <f>Table5[[#This Row],[Quantity]]*Table5[[#This Row],[Unit Price]]</f>
        <v>3036.14</v>
      </c>
    </row>
    <row r="82" spans="2:7" x14ac:dyDescent="0.25">
      <c r="B82" s="1">
        <v>46102</v>
      </c>
      <c r="C82" t="s">
        <v>46</v>
      </c>
      <c r="D82" t="s">
        <v>8</v>
      </c>
      <c r="E82">
        <v>33</v>
      </c>
      <c r="F82">
        <v>18.809999999999999</v>
      </c>
      <c r="G82">
        <f>Table5[[#This Row],[Quantity]]*Table5[[#This Row],[Unit Price]]</f>
        <v>620.7299999999999</v>
      </c>
    </row>
    <row r="83" spans="2:7" x14ac:dyDescent="0.25">
      <c r="B83" s="1">
        <v>46103</v>
      </c>
      <c r="C83" t="s">
        <v>46</v>
      </c>
      <c r="D83" t="s">
        <v>8</v>
      </c>
      <c r="E83">
        <v>39</v>
      </c>
      <c r="F83">
        <v>17.48</v>
      </c>
      <c r="G83">
        <f>Table5[[#This Row],[Quantity]]*Table5[[#This Row],[Unit Price]]</f>
        <v>681.72</v>
      </c>
    </row>
    <row r="84" spans="2:7" hidden="1" x14ac:dyDescent="0.25">
      <c r="B84" s="1">
        <v>46104</v>
      </c>
      <c r="C84" t="s">
        <v>15</v>
      </c>
      <c r="D84" t="s">
        <v>16</v>
      </c>
      <c r="E84">
        <v>26</v>
      </c>
      <c r="F84">
        <v>267.83999999999997</v>
      </c>
      <c r="G84">
        <f>Table5[[#This Row],[Quantity]]*Table5[[#This Row],[Unit Price]]</f>
        <v>6963.8399999999992</v>
      </c>
    </row>
    <row r="85" spans="2:7" hidden="1" x14ac:dyDescent="0.25">
      <c r="B85" s="1">
        <v>46105</v>
      </c>
      <c r="C85" t="s">
        <v>24</v>
      </c>
      <c r="D85" t="s">
        <v>13</v>
      </c>
      <c r="E85">
        <v>38</v>
      </c>
      <c r="F85">
        <v>309.42</v>
      </c>
      <c r="G85">
        <f>Table5[[#This Row],[Quantity]]*Table5[[#This Row],[Unit Price]]</f>
        <v>11757.960000000001</v>
      </c>
    </row>
    <row r="86" spans="2:7" hidden="1" x14ac:dyDescent="0.25">
      <c r="B86" s="1">
        <v>46106</v>
      </c>
      <c r="C86" t="s">
        <v>36</v>
      </c>
      <c r="D86" t="s">
        <v>13</v>
      </c>
      <c r="E86">
        <v>27</v>
      </c>
      <c r="F86">
        <v>338.97</v>
      </c>
      <c r="G86">
        <f>Table5[[#This Row],[Quantity]]*Table5[[#This Row],[Unit Price]]</f>
        <v>9152.19</v>
      </c>
    </row>
    <row r="87" spans="2:7" hidden="1" x14ac:dyDescent="0.25">
      <c r="B87" s="1">
        <v>46107</v>
      </c>
      <c r="C87" t="s">
        <v>12</v>
      </c>
      <c r="D87" t="s">
        <v>13</v>
      </c>
      <c r="E87">
        <v>21</v>
      </c>
      <c r="F87">
        <v>469.31</v>
      </c>
      <c r="G87">
        <f>Table5[[#This Row],[Quantity]]*Table5[[#This Row],[Unit Price]]</f>
        <v>9855.51</v>
      </c>
    </row>
    <row r="88" spans="2:7" x14ac:dyDescent="0.25">
      <c r="B88" s="1">
        <v>46108</v>
      </c>
      <c r="C88" t="s">
        <v>28</v>
      </c>
      <c r="D88" t="s">
        <v>8</v>
      </c>
      <c r="E88">
        <v>16</v>
      </c>
      <c r="F88">
        <v>39.22</v>
      </c>
      <c r="G88">
        <f>Table5[[#This Row],[Quantity]]*Table5[[#This Row],[Unit Price]]</f>
        <v>627.52</v>
      </c>
    </row>
    <row r="89" spans="2:7" x14ac:dyDescent="0.25">
      <c r="B89" s="1">
        <v>46109</v>
      </c>
      <c r="C89" t="s">
        <v>28</v>
      </c>
      <c r="D89" t="s">
        <v>8</v>
      </c>
      <c r="E89">
        <v>30</v>
      </c>
      <c r="F89">
        <v>44.78</v>
      </c>
      <c r="G89">
        <f>Table5[[#This Row],[Quantity]]*Table5[[#This Row],[Unit Price]]</f>
        <v>1343.4</v>
      </c>
    </row>
    <row r="90" spans="2:7" hidden="1" x14ac:dyDescent="0.25">
      <c r="B90" s="1">
        <v>46110</v>
      </c>
      <c r="C90" t="s">
        <v>30</v>
      </c>
      <c r="D90" t="s">
        <v>16</v>
      </c>
      <c r="E90">
        <v>1</v>
      </c>
      <c r="F90">
        <v>741.6</v>
      </c>
      <c r="G90">
        <f>Table5[[#This Row],[Quantity]]*Table5[[#This Row],[Unit Price]]</f>
        <v>741.6</v>
      </c>
    </row>
    <row r="91" spans="2:7" hidden="1" x14ac:dyDescent="0.25">
      <c r="B91" s="1">
        <v>46111</v>
      </c>
      <c r="C91" t="s">
        <v>36</v>
      </c>
      <c r="D91" t="s">
        <v>13</v>
      </c>
      <c r="E91">
        <v>5</v>
      </c>
      <c r="F91">
        <v>282.69</v>
      </c>
      <c r="G91">
        <f>Table5[[#This Row],[Quantity]]*Table5[[#This Row],[Unit Price]]</f>
        <v>1413.45</v>
      </c>
    </row>
    <row r="92" spans="2:7" hidden="1" x14ac:dyDescent="0.25">
      <c r="B92" s="1">
        <v>46112</v>
      </c>
      <c r="C92" t="s">
        <v>14</v>
      </c>
      <c r="D92" t="s">
        <v>13</v>
      </c>
      <c r="E92">
        <v>9</v>
      </c>
      <c r="F92">
        <v>468.63</v>
      </c>
      <c r="G92">
        <f>Table5[[#This Row],[Quantity]]*Table5[[#This Row],[Unit Price]]</f>
        <v>4217.67</v>
      </c>
    </row>
    <row r="93" spans="2:7" hidden="1" x14ac:dyDescent="0.25">
      <c r="B93" s="1">
        <v>46113</v>
      </c>
      <c r="C93" t="s">
        <v>26</v>
      </c>
      <c r="D93" t="s">
        <v>11</v>
      </c>
      <c r="E93">
        <v>24</v>
      </c>
      <c r="F93">
        <v>449.24</v>
      </c>
      <c r="G93">
        <f>Table5[[#This Row],[Quantity]]*Table5[[#This Row],[Unit Price]]</f>
        <v>10781.76</v>
      </c>
    </row>
    <row r="94" spans="2:7" hidden="1" x14ac:dyDescent="0.25">
      <c r="B94" s="1">
        <v>46114</v>
      </c>
      <c r="C94" t="s">
        <v>37</v>
      </c>
      <c r="D94" t="s">
        <v>23</v>
      </c>
      <c r="E94">
        <v>46</v>
      </c>
      <c r="F94">
        <v>19.55</v>
      </c>
      <c r="G94">
        <f>Table5[[#This Row],[Quantity]]*Table5[[#This Row],[Unit Price]]</f>
        <v>899.30000000000007</v>
      </c>
    </row>
    <row r="95" spans="2:7" hidden="1" x14ac:dyDescent="0.25">
      <c r="B95" s="1">
        <v>46115</v>
      </c>
      <c r="C95" t="s">
        <v>39</v>
      </c>
      <c r="D95" t="s">
        <v>16</v>
      </c>
      <c r="E95">
        <v>1</v>
      </c>
      <c r="F95">
        <v>1035.01</v>
      </c>
      <c r="G95">
        <f>Table5[[#This Row],[Quantity]]*Table5[[#This Row],[Unit Price]]</f>
        <v>1035.01</v>
      </c>
    </row>
    <row r="96" spans="2:7" hidden="1" x14ac:dyDescent="0.25">
      <c r="B96" s="1">
        <v>46116</v>
      </c>
      <c r="C96" t="s">
        <v>14</v>
      </c>
      <c r="D96" t="s">
        <v>13</v>
      </c>
      <c r="E96">
        <v>60</v>
      </c>
      <c r="F96">
        <v>341.79</v>
      </c>
      <c r="G96">
        <f>Table5[[#This Row],[Quantity]]*Table5[[#This Row],[Unit Price]]</f>
        <v>20507.400000000001</v>
      </c>
    </row>
    <row r="97" spans="2:7" x14ac:dyDescent="0.25">
      <c r="B97" s="1">
        <v>46117</v>
      </c>
      <c r="C97" t="s">
        <v>28</v>
      </c>
      <c r="D97" t="s">
        <v>8</v>
      </c>
      <c r="E97">
        <v>8</v>
      </c>
      <c r="F97">
        <v>107.87</v>
      </c>
      <c r="G97">
        <f>Table5[[#This Row],[Quantity]]*Table5[[#This Row],[Unit Price]]</f>
        <v>862.96</v>
      </c>
    </row>
    <row r="98" spans="2:7" hidden="1" x14ac:dyDescent="0.25">
      <c r="B98" s="1">
        <v>46118</v>
      </c>
      <c r="C98" t="s">
        <v>9</v>
      </c>
      <c r="D98" t="s">
        <v>6</v>
      </c>
      <c r="E98">
        <v>10</v>
      </c>
      <c r="F98">
        <v>219.75</v>
      </c>
      <c r="G98">
        <f>Table5[[#This Row],[Quantity]]*Table5[[#This Row],[Unit Price]]</f>
        <v>2197.5</v>
      </c>
    </row>
    <row r="99" spans="2:7" hidden="1" x14ac:dyDescent="0.25">
      <c r="B99" s="1">
        <v>46119</v>
      </c>
      <c r="C99" t="s">
        <v>24</v>
      </c>
      <c r="D99" t="s">
        <v>13</v>
      </c>
      <c r="E99">
        <v>46</v>
      </c>
      <c r="F99">
        <v>191.15</v>
      </c>
      <c r="G99">
        <f>Table5[[#This Row],[Quantity]]*Table5[[#This Row],[Unit Price]]</f>
        <v>8792.9</v>
      </c>
    </row>
    <row r="100" spans="2:7" hidden="1" x14ac:dyDescent="0.25">
      <c r="B100" s="1">
        <v>46120</v>
      </c>
      <c r="C100" t="s">
        <v>38</v>
      </c>
      <c r="D100" t="s">
        <v>6</v>
      </c>
      <c r="E100">
        <v>33</v>
      </c>
      <c r="F100">
        <v>362.43</v>
      </c>
      <c r="G100">
        <f>Table5[[#This Row],[Quantity]]*Table5[[#This Row],[Unit Price]]</f>
        <v>11960.19</v>
      </c>
    </row>
    <row r="101" spans="2:7" hidden="1" x14ac:dyDescent="0.25">
      <c r="B101" s="1">
        <v>46121</v>
      </c>
      <c r="C101" t="s">
        <v>30</v>
      </c>
      <c r="D101" t="s">
        <v>16</v>
      </c>
      <c r="E101">
        <v>6</v>
      </c>
      <c r="F101">
        <v>988</v>
      </c>
      <c r="G101">
        <f>Table5[[#This Row],[Quantity]]*Table5[[#This Row],[Unit Price]]</f>
        <v>5928</v>
      </c>
    </row>
    <row r="102" spans="2:7" hidden="1" x14ac:dyDescent="0.25">
      <c r="B102" s="1">
        <v>46122</v>
      </c>
      <c r="C102" t="s">
        <v>31</v>
      </c>
      <c r="D102" t="s">
        <v>16</v>
      </c>
      <c r="E102">
        <v>3</v>
      </c>
      <c r="F102">
        <v>104.96</v>
      </c>
      <c r="G102">
        <f>Table5[[#This Row],[Quantity]]*Table5[[#This Row],[Unit Price]]</f>
        <v>314.88</v>
      </c>
    </row>
    <row r="103" spans="2:7" x14ac:dyDescent="0.25">
      <c r="B103" t="s">
        <v>47</v>
      </c>
      <c r="G103">
        <f>SUBTOTAL(109,Table5[Revenue])</f>
        <v>18376.689999999995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74F6-2A2D-411B-9DD8-7424974733C3}">
  <dimension ref="A1:J102"/>
  <sheetViews>
    <sheetView workbookViewId="0">
      <pane ySplit="1" topLeftCell="A83" activePane="bottomLeft" state="frozen"/>
      <selection pane="bottomLeft" activeCell="J86" sqref="J86"/>
    </sheetView>
  </sheetViews>
  <sheetFormatPr defaultRowHeight="15" x14ac:dyDescent="0.25"/>
  <cols>
    <col min="2" max="2" width="10.140625" customWidth="1"/>
    <col min="3" max="3" width="11.28515625" customWidth="1"/>
    <col min="4" max="4" width="10.85546875" customWidth="1"/>
    <col min="5" max="5" width="11.85546875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</v>
      </c>
    </row>
    <row r="2" spans="1:6" x14ac:dyDescent="0.25">
      <c r="A2" s="1">
        <v>46023</v>
      </c>
      <c r="B2" t="s">
        <v>5</v>
      </c>
      <c r="C2" t="s">
        <v>6</v>
      </c>
      <c r="D2">
        <v>2</v>
      </c>
      <c r="E2">
        <v>529.41999999999996</v>
      </c>
      <c r="F2">
        <f>FinalTable[[#This Row],[Quantity]]*FinalTable[[#This Row],[Unit Price]]</f>
        <v>1058.8399999999999</v>
      </c>
    </row>
    <row r="3" spans="1:6" x14ac:dyDescent="0.25">
      <c r="A3" s="1">
        <v>46024</v>
      </c>
      <c r="B3" t="s">
        <v>7</v>
      </c>
      <c r="C3" t="s">
        <v>8</v>
      </c>
      <c r="D3">
        <v>9</v>
      </c>
      <c r="E3">
        <v>91.01</v>
      </c>
      <c r="F3">
        <f>FinalTable[[#This Row],[Quantity]]*FinalTable[[#This Row],[Unit Price]]</f>
        <v>819.09</v>
      </c>
    </row>
    <row r="4" spans="1:6" x14ac:dyDescent="0.25">
      <c r="A4" s="1">
        <v>46025</v>
      </c>
      <c r="B4" t="s">
        <v>9</v>
      </c>
      <c r="C4" t="s">
        <v>6</v>
      </c>
      <c r="D4">
        <v>6</v>
      </c>
      <c r="E4">
        <v>429.73</v>
      </c>
      <c r="F4">
        <f>FinalTable[[#This Row],[Quantity]]*FinalTable[[#This Row],[Unit Price]]</f>
        <v>2578.38</v>
      </c>
    </row>
    <row r="5" spans="1:6" x14ac:dyDescent="0.25">
      <c r="A5" s="1">
        <v>46026</v>
      </c>
      <c r="B5" t="s">
        <v>10</v>
      </c>
      <c r="C5" t="s">
        <v>11</v>
      </c>
      <c r="D5">
        <v>6</v>
      </c>
      <c r="E5">
        <v>379.57</v>
      </c>
      <c r="F5">
        <f>FinalTable[[#This Row],[Quantity]]*FinalTable[[#This Row],[Unit Price]]</f>
        <v>2277.42</v>
      </c>
    </row>
    <row r="6" spans="1:6" x14ac:dyDescent="0.25">
      <c r="A6" s="1">
        <v>46027</v>
      </c>
      <c r="B6" t="s">
        <v>12</v>
      </c>
      <c r="C6" t="s">
        <v>13</v>
      </c>
      <c r="D6">
        <v>2</v>
      </c>
      <c r="E6">
        <v>293.79000000000002</v>
      </c>
      <c r="F6">
        <f>FinalTable[[#This Row],[Quantity]]*FinalTable[[#This Row],[Unit Price]]</f>
        <v>587.58000000000004</v>
      </c>
    </row>
    <row r="7" spans="1:6" x14ac:dyDescent="0.25">
      <c r="A7" s="1">
        <v>46028</v>
      </c>
      <c r="B7" t="s">
        <v>9</v>
      </c>
      <c r="C7" t="s">
        <v>6</v>
      </c>
      <c r="D7">
        <v>27</v>
      </c>
      <c r="E7">
        <v>185.49</v>
      </c>
      <c r="F7">
        <f>FinalTable[[#This Row],[Quantity]]*FinalTable[[#This Row],[Unit Price]]</f>
        <v>5008.2300000000005</v>
      </c>
    </row>
    <row r="8" spans="1:6" x14ac:dyDescent="0.25">
      <c r="A8" s="1">
        <v>46029</v>
      </c>
      <c r="B8" t="s">
        <v>14</v>
      </c>
      <c r="C8" t="s">
        <v>13</v>
      </c>
      <c r="D8">
        <v>52</v>
      </c>
      <c r="E8">
        <v>438.57</v>
      </c>
      <c r="F8">
        <f>FinalTable[[#This Row],[Quantity]]*FinalTable[[#This Row],[Unit Price]]</f>
        <v>22805.64</v>
      </c>
    </row>
    <row r="9" spans="1:6" x14ac:dyDescent="0.25">
      <c r="A9" s="1">
        <v>46030</v>
      </c>
      <c r="B9" t="s">
        <v>15</v>
      </c>
      <c r="C9" t="s">
        <v>16</v>
      </c>
      <c r="D9">
        <v>45</v>
      </c>
      <c r="E9">
        <v>691.66</v>
      </c>
      <c r="F9">
        <f>FinalTable[[#This Row],[Quantity]]*FinalTable[[#This Row],[Unit Price]]</f>
        <v>31124.699999999997</v>
      </c>
    </row>
    <row r="10" spans="1:6" x14ac:dyDescent="0.25">
      <c r="A10" s="1">
        <v>46031</v>
      </c>
      <c r="B10" t="s">
        <v>17</v>
      </c>
      <c r="C10" t="s">
        <v>18</v>
      </c>
      <c r="D10">
        <v>14</v>
      </c>
      <c r="E10">
        <v>864.06</v>
      </c>
      <c r="F10">
        <f>FinalTable[[#This Row],[Quantity]]*FinalTable[[#This Row],[Unit Price]]</f>
        <v>12096.84</v>
      </c>
    </row>
    <row r="11" spans="1:6" x14ac:dyDescent="0.25">
      <c r="A11" s="1">
        <v>46032</v>
      </c>
      <c r="B11" t="s">
        <v>19</v>
      </c>
      <c r="C11" t="s">
        <v>18</v>
      </c>
      <c r="D11">
        <v>6</v>
      </c>
      <c r="E11">
        <v>379.14</v>
      </c>
      <c r="F11">
        <f>FinalTable[[#This Row],[Quantity]]*FinalTable[[#This Row],[Unit Price]]</f>
        <v>2274.84</v>
      </c>
    </row>
    <row r="12" spans="1:6" x14ac:dyDescent="0.25">
      <c r="A12" s="1">
        <v>46033</v>
      </c>
      <c r="B12" t="s">
        <v>20</v>
      </c>
      <c r="C12" t="s">
        <v>18</v>
      </c>
      <c r="D12">
        <v>39</v>
      </c>
      <c r="E12">
        <v>282.2</v>
      </c>
      <c r="F12">
        <f>FinalTable[[#This Row],[Quantity]]*FinalTable[[#This Row],[Unit Price]]</f>
        <v>11005.8</v>
      </c>
    </row>
    <row r="13" spans="1:6" x14ac:dyDescent="0.25">
      <c r="A13" s="1">
        <v>46034</v>
      </c>
      <c r="B13" t="s">
        <v>21</v>
      </c>
      <c r="C13" t="s">
        <v>11</v>
      </c>
      <c r="D13">
        <v>35</v>
      </c>
      <c r="E13">
        <v>281.07</v>
      </c>
      <c r="F13">
        <f>FinalTable[[#This Row],[Quantity]]*FinalTable[[#This Row],[Unit Price]]</f>
        <v>9837.4499999999989</v>
      </c>
    </row>
    <row r="14" spans="1:6" x14ac:dyDescent="0.25">
      <c r="A14" s="1">
        <v>46035</v>
      </c>
      <c r="B14" t="s">
        <v>22</v>
      </c>
      <c r="C14" t="s">
        <v>23</v>
      </c>
      <c r="D14">
        <v>36</v>
      </c>
      <c r="E14">
        <v>19</v>
      </c>
      <c r="F14">
        <f>FinalTable[[#This Row],[Quantity]]*FinalTable[[#This Row],[Unit Price]]</f>
        <v>684</v>
      </c>
    </row>
    <row r="15" spans="1:6" x14ac:dyDescent="0.25">
      <c r="A15" s="1">
        <v>46036</v>
      </c>
      <c r="B15" t="s">
        <v>9</v>
      </c>
      <c r="C15" t="s">
        <v>6</v>
      </c>
      <c r="D15">
        <v>57</v>
      </c>
      <c r="E15">
        <v>608.73</v>
      </c>
      <c r="F15">
        <f>FinalTable[[#This Row],[Quantity]]*FinalTable[[#This Row],[Unit Price]]</f>
        <v>34697.61</v>
      </c>
    </row>
    <row r="16" spans="1:6" x14ac:dyDescent="0.25">
      <c r="A16" s="1">
        <v>46037</v>
      </c>
      <c r="B16" t="s">
        <v>24</v>
      </c>
      <c r="C16" t="s">
        <v>13</v>
      </c>
      <c r="D16">
        <v>46</v>
      </c>
      <c r="E16">
        <v>62.69</v>
      </c>
      <c r="F16">
        <f>FinalTable[[#This Row],[Quantity]]*FinalTable[[#This Row],[Unit Price]]</f>
        <v>2883.74</v>
      </c>
    </row>
    <row r="17" spans="1:6" x14ac:dyDescent="0.25">
      <c r="A17" s="1">
        <v>46038</v>
      </c>
      <c r="B17" t="s">
        <v>25</v>
      </c>
      <c r="C17" t="s">
        <v>6</v>
      </c>
      <c r="D17">
        <v>50</v>
      </c>
      <c r="E17">
        <v>231</v>
      </c>
      <c r="F17">
        <f>FinalTable[[#This Row],[Quantity]]*FinalTable[[#This Row],[Unit Price]]</f>
        <v>11550</v>
      </c>
    </row>
    <row r="18" spans="1:6" x14ac:dyDescent="0.25">
      <c r="A18" s="1">
        <v>46039</v>
      </c>
      <c r="B18" t="s">
        <v>26</v>
      </c>
      <c r="C18" t="s">
        <v>11</v>
      </c>
      <c r="D18">
        <v>56</v>
      </c>
      <c r="E18">
        <v>256.05</v>
      </c>
      <c r="F18">
        <f>FinalTable[[#This Row],[Quantity]]*FinalTable[[#This Row],[Unit Price]]</f>
        <v>14338.800000000001</v>
      </c>
    </row>
    <row r="19" spans="1:6" x14ac:dyDescent="0.25">
      <c r="A19" s="1">
        <v>46040</v>
      </c>
      <c r="B19" t="s">
        <v>27</v>
      </c>
      <c r="C19" t="s">
        <v>18</v>
      </c>
      <c r="D19">
        <v>41</v>
      </c>
      <c r="E19">
        <v>760.65</v>
      </c>
      <c r="F19">
        <f>FinalTable[[#This Row],[Quantity]]*FinalTable[[#This Row],[Unit Price]]</f>
        <v>31186.649999999998</v>
      </c>
    </row>
    <row r="20" spans="1:6" x14ac:dyDescent="0.25">
      <c r="A20" s="1">
        <v>46041</v>
      </c>
      <c r="B20" t="s">
        <v>28</v>
      </c>
      <c r="C20" t="s">
        <v>8</v>
      </c>
      <c r="D20">
        <v>23</v>
      </c>
      <c r="E20">
        <v>33.049999999999997</v>
      </c>
      <c r="F20">
        <f>FinalTable[[#This Row],[Quantity]]*FinalTable[[#This Row],[Unit Price]]</f>
        <v>760.15</v>
      </c>
    </row>
    <row r="21" spans="1:6" x14ac:dyDescent="0.25">
      <c r="A21" s="1">
        <v>46042</v>
      </c>
      <c r="B21" t="s">
        <v>19</v>
      </c>
      <c r="C21" t="s">
        <v>18</v>
      </c>
      <c r="D21">
        <v>39</v>
      </c>
      <c r="E21">
        <v>593.38</v>
      </c>
      <c r="F21">
        <f>FinalTable[[#This Row],[Quantity]]*FinalTable[[#This Row],[Unit Price]]</f>
        <v>23141.82</v>
      </c>
    </row>
    <row r="22" spans="1:6" x14ac:dyDescent="0.25">
      <c r="A22" s="1">
        <v>46043</v>
      </c>
      <c r="B22" t="s">
        <v>24</v>
      </c>
      <c r="C22" t="s">
        <v>13</v>
      </c>
      <c r="D22">
        <v>11</v>
      </c>
      <c r="E22">
        <v>247.26</v>
      </c>
      <c r="F22">
        <f>FinalTable[[#This Row],[Quantity]]*FinalTable[[#This Row],[Unit Price]]</f>
        <v>2719.8599999999997</v>
      </c>
    </row>
    <row r="23" spans="1:6" x14ac:dyDescent="0.25">
      <c r="A23" s="1">
        <v>46044</v>
      </c>
      <c r="B23" t="s">
        <v>29</v>
      </c>
      <c r="C23" t="s">
        <v>18</v>
      </c>
      <c r="D23">
        <v>15</v>
      </c>
      <c r="E23">
        <v>635.08000000000004</v>
      </c>
      <c r="F23">
        <f>FinalTable[[#This Row],[Quantity]]*FinalTable[[#This Row],[Unit Price]]</f>
        <v>9526.2000000000007</v>
      </c>
    </row>
    <row r="24" spans="1:6" x14ac:dyDescent="0.25">
      <c r="A24" s="1">
        <v>46045</v>
      </c>
      <c r="B24" t="s">
        <v>30</v>
      </c>
      <c r="C24" t="s">
        <v>16</v>
      </c>
      <c r="D24">
        <v>15</v>
      </c>
      <c r="E24">
        <v>1250.52</v>
      </c>
      <c r="F24">
        <f>FinalTable[[#This Row],[Quantity]]*FinalTable[[#This Row],[Unit Price]]</f>
        <v>18757.8</v>
      </c>
    </row>
    <row r="25" spans="1:6" x14ac:dyDescent="0.25">
      <c r="A25" s="1">
        <v>46046</v>
      </c>
      <c r="B25" t="s">
        <v>31</v>
      </c>
      <c r="C25" t="s">
        <v>16</v>
      </c>
      <c r="D25">
        <v>26</v>
      </c>
      <c r="E25">
        <v>474.84</v>
      </c>
      <c r="F25">
        <f>FinalTable[[#This Row],[Quantity]]*FinalTable[[#This Row],[Unit Price]]</f>
        <v>12345.84</v>
      </c>
    </row>
    <row r="26" spans="1:6" x14ac:dyDescent="0.25">
      <c r="A26" s="1">
        <v>46047</v>
      </c>
      <c r="B26" t="s">
        <v>32</v>
      </c>
      <c r="C26" t="s">
        <v>8</v>
      </c>
      <c r="D26">
        <v>57</v>
      </c>
      <c r="E26">
        <v>88.97</v>
      </c>
      <c r="F26">
        <f>FinalTable[[#This Row],[Quantity]]*FinalTable[[#This Row],[Unit Price]]</f>
        <v>5071.29</v>
      </c>
    </row>
    <row r="27" spans="1:6" x14ac:dyDescent="0.25">
      <c r="A27" s="1">
        <v>46048</v>
      </c>
      <c r="B27" t="s">
        <v>33</v>
      </c>
      <c r="C27" t="s">
        <v>8</v>
      </c>
      <c r="D27">
        <v>26</v>
      </c>
      <c r="E27">
        <v>107.32</v>
      </c>
      <c r="F27">
        <f>FinalTable[[#This Row],[Quantity]]*FinalTable[[#This Row],[Unit Price]]</f>
        <v>2790.3199999999997</v>
      </c>
    </row>
    <row r="28" spans="1:6" x14ac:dyDescent="0.25">
      <c r="A28" s="1">
        <v>46049</v>
      </c>
      <c r="B28" t="s">
        <v>34</v>
      </c>
      <c r="C28" t="s">
        <v>6</v>
      </c>
      <c r="D28">
        <v>10</v>
      </c>
      <c r="E28">
        <v>214.82</v>
      </c>
      <c r="F28">
        <f>FinalTable[[#This Row],[Quantity]]*FinalTable[[#This Row],[Unit Price]]</f>
        <v>2148.1999999999998</v>
      </c>
    </row>
    <row r="29" spans="1:6" x14ac:dyDescent="0.25">
      <c r="A29" s="1">
        <v>46050</v>
      </c>
      <c r="B29" t="s">
        <v>32</v>
      </c>
      <c r="C29" t="s">
        <v>8</v>
      </c>
      <c r="D29">
        <v>35</v>
      </c>
      <c r="E29">
        <v>38.9</v>
      </c>
      <c r="F29">
        <f>FinalTable[[#This Row],[Quantity]]*FinalTable[[#This Row],[Unit Price]]</f>
        <v>1361.5</v>
      </c>
    </row>
    <row r="30" spans="1:6" x14ac:dyDescent="0.25">
      <c r="A30" s="1">
        <v>46051</v>
      </c>
      <c r="B30" t="s">
        <v>35</v>
      </c>
      <c r="C30" t="s">
        <v>13</v>
      </c>
      <c r="D30">
        <v>58</v>
      </c>
      <c r="E30">
        <v>304.26</v>
      </c>
      <c r="F30">
        <f>FinalTable[[#This Row],[Quantity]]*FinalTable[[#This Row],[Unit Price]]</f>
        <v>17647.079999999998</v>
      </c>
    </row>
    <row r="31" spans="1:6" x14ac:dyDescent="0.25">
      <c r="A31" s="1">
        <v>46052</v>
      </c>
      <c r="B31" t="s">
        <v>17</v>
      </c>
      <c r="C31" t="s">
        <v>18</v>
      </c>
      <c r="D31">
        <v>9</v>
      </c>
      <c r="E31">
        <v>488</v>
      </c>
      <c r="F31">
        <f>FinalTable[[#This Row],[Quantity]]*FinalTable[[#This Row],[Unit Price]]</f>
        <v>4392</v>
      </c>
    </row>
    <row r="32" spans="1:6" x14ac:dyDescent="0.25">
      <c r="A32" s="1">
        <v>46053</v>
      </c>
      <c r="B32" t="s">
        <v>10</v>
      </c>
      <c r="C32" t="s">
        <v>11</v>
      </c>
      <c r="D32">
        <v>56</v>
      </c>
      <c r="E32">
        <v>265.13</v>
      </c>
      <c r="F32">
        <f>FinalTable[[#This Row],[Quantity]]*FinalTable[[#This Row],[Unit Price]]</f>
        <v>14847.279999999999</v>
      </c>
    </row>
    <row r="33" spans="1:6" x14ac:dyDescent="0.25">
      <c r="A33" s="1">
        <v>46054</v>
      </c>
      <c r="B33" t="s">
        <v>25</v>
      </c>
      <c r="C33" t="s">
        <v>6</v>
      </c>
      <c r="D33">
        <v>51</v>
      </c>
      <c r="E33">
        <v>489.12</v>
      </c>
      <c r="F33">
        <f>FinalTable[[#This Row],[Quantity]]*FinalTable[[#This Row],[Unit Price]]</f>
        <v>24945.119999999999</v>
      </c>
    </row>
    <row r="34" spans="1:6" x14ac:dyDescent="0.25">
      <c r="A34" s="1">
        <v>46055</v>
      </c>
      <c r="B34" t="s">
        <v>36</v>
      </c>
      <c r="C34" t="s">
        <v>13</v>
      </c>
      <c r="D34">
        <v>25</v>
      </c>
      <c r="E34">
        <v>209.36</v>
      </c>
      <c r="F34">
        <f>FinalTable[[#This Row],[Quantity]]*FinalTable[[#This Row],[Unit Price]]</f>
        <v>5234</v>
      </c>
    </row>
    <row r="35" spans="1:6" x14ac:dyDescent="0.25">
      <c r="A35" s="1">
        <v>46056</v>
      </c>
      <c r="B35" t="s">
        <v>37</v>
      </c>
      <c r="C35" t="s">
        <v>23</v>
      </c>
      <c r="D35">
        <v>17</v>
      </c>
      <c r="E35">
        <v>58.32</v>
      </c>
      <c r="F35">
        <f>FinalTable[[#This Row],[Quantity]]*FinalTable[[#This Row],[Unit Price]]</f>
        <v>991.44</v>
      </c>
    </row>
    <row r="36" spans="1:6" x14ac:dyDescent="0.25">
      <c r="A36" s="1">
        <v>46057</v>
      </c>
      <c r="B36" t="s">
        <v>30</v>
      </c>
      <c r="C36" t="s">
        <v>16</v>
      </c>
      <c r="D36">
        <v>44</v>
      </c>
      <c r="E36">
        <v>1109.01</v>
      </c>
      <c r="F36">
        <f>FinalTable[[#This Row],[Quantity]]*FinalTable[[#This Row],[Unit Price]]</f>
        <v>48796.44</v>
      </c>
    </row>
    <row r="37" spans="1:6" x14ac:dyDescent="0.25">
      <c r="A37" s="1">
        <v>46058</v>
      </c>
      <c r="B37" t="s">
        <v>9</v>
      </c>
      <c r="C37" t="s">
        <v>6</v>
      </c>
      <c r="D37">
        <v>49</v>
      </c>
      <c r="E37">
        <v>216.1</v>
      </c>
      <c r="F37">
        <f>FinalTable[[#This Row],[Quantity]]*FinalTable[[#This Row],[Unit Price]]</f>
        <v>10588.9</v>
      </c>
    </row>
    <row r="38" spans="1:6" x14ac:dyDescent="0.25">
      <c r="A38" s="1">
        <v>46059</v>
      </c>
      <c r="B38" t="s">
        <v>38</v>
      </c>
      <c r="C38" t="s">
        <v>6</v>
      </c>
      <c r="D38">
        <v>8</v>
      </c>
      <c r="E38">
        <v>233.71</v>
      </c>
      <c r="F38">
        <f>FinalTable[[#This Row],[Quantity]]*FinalTable[[#This Row],[Unit Price]]</f>
        <v>1869.68</v>
      </c>
    </row>
    <row r="39" spans="1:6" x14ac:dyDescent="0.25">
      <c r="A39" s="1">
        <v>46060</v>
      </c>
      <c r="B39" t="s">
        <v>33</v>
      </c>
      <c r="C39" t="s">
        <v>8</v>
      </c>
      <c r="D39">
        <v>1</v>
      </c>
      <c r="E39">
        <v>114.92</v>
      </c>
      <c r="F39">
        <f>FinalTable[[#This Row],[Quantity]]*FinalTable[[#This Row],[Unit Price]]</f>
        <v>114.92</v>
      </c>
    </row>
    <row r="40" spans="1:6" x14ac:dyDescent="0.25">
      <c r="A40" s="1">
        <v>46061</v>
      </c>
      <c r="B40" t="s">
        <v>38</v>
      </c>
      <c r="C40" t="s">
        <v>6</v>
      </c>
      <c r="D40">
        <v>33</v>
      </c>
      <c r="E40">
        <v>542.9</v>
      </c>
      <c r="F40">
        <f>FinalTable[[#This Row],[Quantity]]*FinalTable[[#This Row],[Unit Price]]</f>
        <v>17915.7</v>
      </c>
    </row>
    <row r="41" spans="1:6" x14ac:dyDescent="0.25">
      <c r="A41" s="1">
        <v>46062</v>
      </c>
      <c r="B41" t="s">
        <v>36</v>
      </c>
      <c r="C41" t="s">
        <v>13</v>
      </c>
      <c r="D41">
        <v>56</v>
      </c>
      <c r="E41">
        <v>323.89</v>
      </c>
      <c r="F41">
        <f>FinalTable[[#This Row],[Quantity]]*FinalTable[[#This Row],[Unit Price]]</f>
        <v>18137.84</v>
      </c>
    </row>
    <row r="42" spans="1:6" x14ac:dyDescent="0.25">
      <c r="A42" s="1">
        <v>46063</v>
      </c>
      <c r="B42" t="s">
        <v>39</v>
      </c>
      <c r="C42" t="s">
        <v>16</v>
      </c>
      <c r="D42">
        <v>39</v>
      </c>
      <c r="E42">
        <v>378.48</v>
      </c>
      <c r="F42">
        <f>FinalTable[[#This Row],[Quantity]]*FinalTable[[#This Row],[Unit Price]]</f>
        <v>14760.720000000001</v>
      </c>
    </row>
    <row r="43" spans="1:6" x14ac:dyDescent="0.25">
      <c r="A43" s="1">
        <v>46064</v>
      </c>
      <c r="B43" t="s">
        <v>17</v>
      </c>
      <c r="C43" t="s">
        <v>18</v>
      </c>
      <c r="D43">
        <v>35</v>
      </c>
      <c r="E43">
        <v>860.94</v>
      </c>
      <c r="F43">
        <f>FinalTable[[#This Row],[Quantity]]*FinalTable[[#This Row],[Unit Price]]</f>
        <v>30132.9</v>
      </c>
    </row>
    <row r="44" spans="1:6" x14ac:dyDescent="0.25">
      <c r="A44" s="1">
        <v>46065</v>
      </c>
      <c r="B44" t="s">
        <v>36</v>
      </c>
      <c r="C44" t="s">
        <v>13</v>
      </c>
      <c r="D44">
        <v>39</v>
      </c>
      <c r="E44">
        <v>182.35</v>
      </c>
      <c r="F44">
        <f>FinalTable[[#This Row],[Quantity]]*FinalTable[[#This Row],[Unit Price]]</f>
        <v>7111.65</v>
      </c>
    </row>
    <row r="45" spans="1:6" x14ac:dyDescent="0.25">
      <c r="A45" s="1">
        <v>46066</v>
      </c>
      <c r="B45" t="s">
        <v>10</v>
      </c>
      <c r="C45" t="s">
        <v>11</v>
      </c>
      <c r="D45">
        <v>60</v>
      </c>
      <c r="E45">
        <v>531.13</v>
      </c>
      <c r="F45">
        <f>FinalTable[[#This Row],[Quantity]]*FinalTable[[#This Row],[Unit Price]]</f>
        <v>31867.8</v>
      </c>
    </row>
    <row r="46" spans="1:6" x14ac:dyDescent="0.25">
      <c r="A46" s="1">
        <v>46067</v>
      </c>
      <c r="B46" t="s">
        <v>31</v>
      </c>
      <c r="C46" t="s">
        <v>16</v>
      </c>
      <c r="D46">
        <v>16</v>
      </c>
      <c r="E46">
        <v>181.1</v>
      </c>
      <c r="F46">
        <f>FinalTable[[#This Row],[Quantity]]*FinalTable[[#This Row],[Unit Price]]</f>
        <v>2897.6</v>
      </c>
    </row>
    <row r="47" spans="1:6" x14ac:dyDescent="0.25">
      <c r="A47" s="1">
        <v>46068</v>
      </c>
      <c r="B47" t="s">
        <v>36</v>
      </c>
      <c r="C47" t="s">
        <v>13</v>
      </c>
      <c r="D47">
        <v>6</v>
      </c>
      <c r="E47">
        <v>374</v>
      </c>
      <c r="F47">
        <f>FinalTable[[#This Row],[Quantity]]*FinalTable[[#This Row],[Unit Price]]</f>
        <v>2244</v>
      </c>
    </row>
    <row r="48" spans="1:6" x14ac:dyDescent="0.25">
      <c r="A48" s="1">
        <v>46069</v>
      </c>
      <c r="B48" t="s">
        <v>30</v>
      </c>
      <c r="C48" t="s">
        <v>16</v>
      </c>
      <c r="D48">
        <v>49</v>
      </c>
      <c r="E48">
        <v>845.79</v>
      </c>
      <c r="F48">
        <f>FinalTable[[#This Row],[Quantity]]*FinalTable[[#This Row],[Unit Price]]</f>
        <v>41443.71</v>
      </c>
    </row>
    <row r="49" spans="1:6" x14ac:dyDescent="0.25">
      <c r="A49" s="1">
        <v>46070</v>
      </c>
      <c r="B49" t="s">
        <v>7</v>
      </c>
      <c r="C49" t="s">
        <v>8</v>
      </c>
      <c r="D49">
        <v>43</v>
      </c>
      <c r="E49">
        <v>62.28</v>
      </c>
      <c r="F49">
        <f>FinalTable[[#This Row],[Quantity]]*FinalTable[[#This Row],[Unit Price]]</f>
        <v>2678.04</v>
      </c>
    </row>
    <row r="50" spans="1:6" x14ac:dyDescent="0.25">
      <c r="A50" s="1">
        <v>46071</v>
      </c>
      <c r="B50" t="s">
        <v>24</v>
      </c>
      <c r="C50" t="s">
        <v>13</v>
      </c>
      <c r="D50">
        <v>17</v>
      </c>
      <c r="E50">
        <v>278.01</v>
      </c>
      <c r="F50">
        <f>FinalTable[[#This Row],[Quantity]]*FinalTable[[#This Row],[Unit Price]]</f>
        <v>4726.17</v>
      </c>
    </row>
    <row r="51" spans="1:6" x14ac:dyDescent="0.25">
      <c r="A51" s="1">
        <v>46072</v>
      </c>
      <c r="B51" t="s">
        <v>35</v>
      </c>
      <c r="C51" t="s">
        <v>13</v>
      </c>
      <c r="D51">
        <v>14</v>
      </c>
      <c r="E51">
        <v>466.59</v>
      </c>
      <c r="F51">
        <f>FinalTable[[#This Row],[Quantity]]*FinalTable[[#This Row],[Unit Price]]</f>
        <v>6532.2599999999993</v>
      </c>
    </row>
    <row r="52" spans="1:6" x14ac:dyDescent="0.25">
      <c r="A52" s="1">
        <v>46073</v>
      </c>
      <c r="B52" t="s">
        <v>15</v>
      </c>
      <c r="C52" t="s">
        <v>16</v>
      </c>
      <c r="D52">
        <v>46</v>
      </c>
      <c r="E52">
        <v>536.4</v>
      </c>
      <c r="F52">
        <f>FinalTable[[#This Row],[Quantity]]*FinalTable[[#This Row],[Unit Price]]</f>
        <v>24674.399999999998</v>
      </c>
    </row>
    <row r="53" spans="1:6" x14ac:dyDescent="0.25">
      <c r="A53" s="1">
        <v>46074</v>
      </c>
      <c r="B53" t="s">
        <v>38</v>
      </c>
      <c r="C53" t="s">
        <v>6</v>
      </c>
      <c r="D53">
        <v>29</v>
      </c>
      <c r="E53">
        <v>633.75</v>
      </c>
      <c r="F53">
        <f>FinalTable[[#This Row],[Quantity]]*FinalTable[[#This Row],[Unit Price]]</f>
        <v>18378.75</v>
      </c>
    </row>
    <row r="54" spans="1:6" x14ac:dyDescent="0.25">
      <c r="A54" s="1">
        <v>46075</v>
      </c>
      <c r="B54" t="s">
        <v>22</v>
      </c>
      <c r="C54" t="s">
        <v>23</v>
      </c>
      <c r="D54">
        <v>16</v>
      </c>
      <c r="E54">
        <v>15.03</v>
      </c>
      <c r="F54">
        <f>FinalTable[[#This Row],[Quantity]]*FinalTable[[#This Row],[Unit Price]]</f>
        <v>240.48</v>
      </c>
    </row>
    <row r="55" spans="1:6" x14ac:dyDescent="0.25">
      <c r="A55" s="1">
        <v>46076</v>
      </c>
      <c r="B55" t="s">
        <v>19</v>
      </c>
      <c r="C55" t="s">
        <v>18</v>
      </c>
      <c r="D55">
        <v>38</v>
      </c>
      <c r="E55">
        <v>525.29</v>
      </c>
      <c r="F55">
        <f>FinalTable[[#This Row],[Quantity]]*FinalTable[[#This Row],[Unit Price]]</f>
        <v>19961.019999999997</v>
      </c>
    </row>
    <row r="56" spans="1:6" x14ac:dyDescent="0.25">
      <c r="A56" s="1">
        <v>46077</v>
      </c>
      <c r="B56" t="s">
        <v>24</v>
      </c>
      <c r="C56" t="s">
        <v>13</v>
      </c>
      <c r="D56">
        <v>1</v>
      </c>
      <c r="E56">
        <v>63.37</v>
      </c>
      <c r="F56">
        <f>FinalTable[[#This Row],[Quantity]]*FinalTable[[#This Row],[Unit Price]]</f>
        <v>63.37</v>
      </c>
    </row>
    <row r="57" spans="1:6" x14ac:dyDescent="0.25">
      <c r="A57" s="1">
        <v>46078</v>
      </c>
      <c r="B57" t="s">
        <v>5</v>
      </c>
      <c r="C57" t="s">
        <v>6</v>
      </c>
      <c r="D57">
        <v>15</v>
      </c>
      <c r="E57">
        <v>84.48</v>
      </c>
      <c r="F57">
        <f>FinalTable[[#This Row],[Quantity]]*FinalTable[[#This Row],[Unit Price]]</f>
        <v>1267.2</v>
      </c>
    </row>
    <row r="58" spans="1:6" x14ac:dyDescent="0.25">
      <c r="A58" s="1">
        <v>46079</v>
      </c>
      <c r="B58" t="s">
        <v>40</v>
      </c>
      <c r="C58" t="s">
        <v>11</v>
      </c>
      <c r="D58">
        <v>5</v>
      </c>
      <c r="E58">
        <v>689.86</v>
      </c>
      <c r="F58">
        <f>FinalTable[[#This Row],[Quantity]]*FinalTable[[#This Row],[Unit Price]]</f>
        <v>3449.3</v>
      </c>
    </row>
    <row r="59" spans="1:6" x14ac:dyDescent="0.25">
      <c r="A59" s="1">
        <v>46080</v>
      </c>
      <c r="B59" t="s">
        <v>27</v>
      </c>
      <c r="C59" t="s">
        <v>18</v>
      </c>
      <c r="D59">
        <v>14</v>
      </c>
      <c r="E59">
        <v>512.96</v>
      </c>
      <c r="F59">
        <f>FinalTable[[#This Row],[Quantity]]*FinalTable[[#This Row],[Unit Price]]</f>
        <v>7181.4400000000005</v>
      </c>
    </row>
    <row r="60" spans="1:6" x14ac:dyDescent="0.25">
      <c r="A60" s="1">
        <v>46081</v>
      </c>
      <c r="B60" t="s">
        <v>9</v>
      </c>
      <c r="C60" t="s">
        <v>6</v>
      </c>
      <c r="D60">
        <v>37</v>
      </c>
      <c r="E60">
        <v>351.96</v>
      </c>
      <c r="F60">
        <f>FinalTable[[#This Row],[Quantity]]*FinalTable[[#This Row],[Unit Price]]</f>
        <v>13022.519999999999</v>
      </c>
    </row>
    <row r="61" spans="1:6" x14ac:dyDescent="0.25">
      <c r="A61" s="1">
        <v>46082</v>
      </c>
      <c r="B61" t="s">
        <v>41</v>
      </c>
      <c r="C61" t="s">
        <v>16</v>
      </c>
      <c r="D61">
        <v>52</v>
      </c>
      <c r="E61">
        <v>669.88</v>
      </c>
      <c r="F61">
        <f>FinalTable[[#This Row],[Quantity]]*FinalTable[[#This Row],[Unit Price]]</f>
        <v>34833.760000000002</v>
      </c>
    </row>
    <row r="62" spans="1:6" x14ac:dyDescent="0.25">
      <c r="A62" s="1">
        <v>46083</v>
      </c>
      <c r="B62" t="s">
        <v>10</v>
      </c>
      <c r="C62" t="s">
        <v>11</v>
      </c>
      <c r="D62">
        <v>43</v>
      </c>
      <c r="E62">
        <v>602.6</v>
      </c>
      <c r="F62">
        <f>FinalTable[[#This Row],[Quantity]]*FinalTable[[#This Row],[Unit Price]]</f>
        <v>25911.8</v>
      </c>
    </row>
    <row r="63" spans="1:6" x14ac:dyDescent="0.25">
      <c r="A63" s="1">
        <v>46084</v>
      </c>
      <c r="B63" t="s">
        <v>42</v>
      </c>
      <c r="C63" t="s">
        <v>23</v>
      </c>
      <c r="D63">
        <v>30</v>
      </c>
      <c r="E63">
        <v>52.1</v>
      </c>
      <c r="F63">
        <f>FinalTable[[#This Row],[Quantity]]*FinalTable[[#This Row],[Unit Price]]</f>
        <v>1563</v>
      </c>
    </row>
    <row r="64" spans="1:6" x14ac:dyDescent="0.25">
      <c r="A64" s="1">
        <v>46085</v>
      </c>
      <c r="B64" t="s">
        <v>10</v>
      </c>
      <c r="C64" t="s">
        <v>11</v>
      </c>
      <c r="D64">
        <v>4</v>
      </c>
      <c r="E64">
        <v>572.75</v>
      </c>
      <c r="F64">
        <f>FinalTable[[#This Row],[Quantity]]*FinalTable[[#This Row],[Unit Price]]</f>
        <v>2291</v>
      </c>
    </row>
    <row r="65" spans="1:6" x14ac:dyDescent="0.25">
      <c r="A65" s="1">
        <v>46086</v>
      </c>
      <c r="B65" t="s">
        <v>19</v>
      </c>
      <c r="C65" t="s">
        <v>18</v>
      </c>
      <c r="D65">
        <v>16</v>
      </c>
      <c r="E65">
        <v>220.94</v>
      </c>
      <c r="F65">
        <f>FinalTable[[#This Row],[Quantity]]*FinalTable[[#This Row],[Unit Price]]</f>
        <v>3535.04</v>
      </c>
    </row>
    <row r="66" spans="1:6" x14ac:dyDescent="0.25">
      <c r="A66" s="1">
        <v>46087</v>
      </c>
      <c r="B66" t="s">
        <v>35</v>
      </c>
      <c r="C66" t="s">
        <v>13</v>
      </c>
      <c r="D66">
        <v>9</v>
      </c>
      <c r="E66">
        <v>228.28</v>
      </c>
      <c r="F66">
        <f>FinalTable[[#This Row],[Quantity]]*FinalTable[[#This Row],[Unit Price]]</f>
        <v>2054.52</v>
      </c>
    </row>
    <row r="67" spans="1:6" x14ac:dyDescent="0.25">
      <c r="A67" s="1">
        <v>46088</v>
      </c>
      <c r="B67" t="s">
        <v>27</v>
      </c>
      <c r="C67" t="s">
        <v>18</v>
      </c>
      <c r="D67">
        <v>16</v>
      </c>
      <c r="E67">
        <v>794.57</v>
      </c>
      <c r="F67">
        <f>FinalTable[[#This Row],[Quantity]]*FinalTable[[#This Row],[Unit Price]]</f>
        <v>12713.12</v>
      </c>
    </row>
    <row r="68" spans="1:6" x14ac:dyDescent="0.25">
      <c r="A68" s="1">
        <v>46089</v>
      </c>
      <c r="B68" t="s">
        <v>21</v>
      </c>
      <c r="C68" t="s">
        <v>11</v>
      </c>
      <c r="D68">
        <v>52</v>
      </c>
      <c r="E68">
        <v>1054.42</v>
      </c>
      <c r="F68">
        <f>FinalTable[[#This Row],[Quantity]]*FinalTable[[#This Row],[Unit Price]]</f>
        <v>54829.840000000004</v>
      </c>
    </row>
    <row r="69" spans="1:6" x14ac:dyDescent="0.25">
      <c r="A69" s="1">
        <v>46090</v>
      </c>
      <c r="B69" t="s">
        <v>36</v>
      </c>
      <c r="C69" t="s">
        <v>13</v>
      </c>
      <c r="D69">
        <v>4</v>
      </c>
      <c r="E69">
        <v>336.51</v>
      </c>
      <c r="F69">
        <f>FinalTable[[#This Row],[Quantity]]*FinalTable[[#This Row],[Unit Price]]</f>
        <v>1346.04</v>
      </c>
    </row>
    <row r="70" spans="1:6" x14ac:dyDescent="0.25">
      <c r="A70" s="1">
        <v>46091</v>
      </c>
      <c r="B70" t="s">
        <v>36</v>
      </c>
      <c r="C70" t="s">
        <v>13</v>
      </c>
      <c r="D70">
        <v>6</v>
      </c>
      <c r="E70">
        <v>465.39</v>
      </c>
      <c r="F70">
        <f>FinalTable[[#This Row],[Quantity]]*FinalTable[[#This Row],[Unit Price]]</f>
        <v>2792.34</v>
      </c>
    </row>
    <row r="71" spans="1:6" x14ac:dyDescent="0.25">
      <c r="A71" s="1">
        <v>46092</v>
      </c>
      <c r="B71" t="s">
        <v>15</v>
      </c>
      <c r="C71" t="s">
        <v>16</v>
      </c>
      <c r="D71">
        <v>11</v>
      </c>
      <c r="E71">
        <v>668.98</v>
      </c>
      <c r="F71">
        <f>FinalTable[[#This Row],[Quantity]]*FinalTable[[#This Row],[Unit Price]]</f>
        <v>7358.7800000000007</v>
      </c>
    </row>
    <row r="72" spans="1:6" x14ac:dyDescent="0.25">
      <c r="A72" s="1">
        <v>46093</v>
      </c>
      <c r="B72" t="s">
        <v>43</v>
      </c>
      <c r="C72" t="s">
        <v>23</v>
      </c>
      <c r="D72">
        <v>56</v>
      </c>
      <c r="E72">
        <v>25.26</v>
      </c>
      <c r="F72">
        <f>FinalTable[[#This Row],[Quantity]]*FinalTable[[#This Row],[Unit Price]]</f>
        <v>1414.5600000000002</v>
      </c>
    </row>
    <row r="73" spans="1:6" x14ac:dyDescent="0.25">
      <c r="A73" s="1">
        <v>46094</v>
      </c>
      <c r="B73" t="s">
        <v>26</v>
      </c>
      <c r="C73" t="s">
        <v>11</v>
      </c>
      <c r="D73">
        <v>25</v>
      </c>
      <c r="E73">
        <v>152.26</v>
      </c>
      <c r="F73">
        <f>FinalTable[[#This Row],[Quantity]]*FinalTable[[#This Row],[Unit Price]]</f>
        <v>3806.5</v>
      </c>
    </row>
    <row r="74" spans="1:6" x14ac:dyDescent="0.25">
      <c r="A74" s="1">
        <v>46095</v>
      </c>
      <c r="B74" t="s">
        <v>44</v>
      </c>
      <c r="C74" t="s">
        <v>23</v>
      </c>
      <c r="D74">
        <v>60</v>
      </c>
      <c r="E74">
        <v>47.48</v>
      </c>
      <c r="F74">
        <f>FinalTable[[#This Row],[Quantity]]*FinalTable[[#This Row],[Unit Price]]</f>
        <v>2848.7999999999997</v>
      </c>
    </row>
    <row r="75" spans="1:6" x14ac:dyDescent="0.25">
      <c r="A75" s="1">
        <v>46096</v>
      </c>
      <c r="B75" t="s">
        <v>44</v>
      </c>
      <c r="C75" t="s">
        <v>23</v>
      </c>
      <c r="D75">
        <v>28</v>
      </c>
      <c r="E75">
        <v>42.4</v>
      </c>
      <c r="F75">
        <f>FinalTable[[#This Row],[Quantity]]*FinalTable[[#This Row],[Unit Price]]</f>
        <v>1187.2</v>
      </c>
    </row>
    <row r="76" spans="1:6" x14ac:dyDescent="0.25">
      <c r="A76" s="1">
        <v>46097</v>
      </c>
      <c r="B76" t="s">
        <v>9</v>
      </c>
      <c r="C76" t="s">
        <v>6</v>
      </c>
      <c r="D76">
        <v>43</v>
      </c>
      <c r="E76">
        <v>514.15</v>
      </c>
      <c r="F76">
        <f>FinalTable[[#This Row],[Quantity]]*FinalTable[[#This Row],[Unit Price]]</f>
        <v>22108.45</v>
      </c>
    </row>
    <row r="77" spans="1:6" x14ac:dyDescent="0.25">
      <c r="A77" s="1">
        <v>46098</v>
      </c>
      <c r="B77" t="s">
        <v>7</v>
      </c>
      <c r="C77" t="s">
        <v>8</v>
      </c>
      <c r="D77">
        <v>19</v>
      </c>
      <c r="E77">
        <v>33.950000000000003</v>
      </c>
      <c r="F77">
        <f>FinalTable[[#This Row],[Quantity]]*FinalTable[[#This Row],[Unit Price]]</f>
        <v>645.05000000000007</v>
      </c>
    </row>
    <row r="78" spans="1:6" x14ac:dyDescent="0.25">
      <c r="A78" s="1">
        <v>46099</v>
      </c>
      <c r="B78" t="s">
        <v>45</v>
      </c>
      <c r="C78" t="s">
        <v>11</v>
      </c>
      <c r="D78">
        <v>48</v>
      </c>
      <c r="E78">
        <v>719.3</v>
      </c>
      <c r="F78">
        <f>FinalTable[[#This Row],[Quantity]]*FinalTable[[#This Row],[Unit Price]]</f>
        <v>34526.399999999994</v>
      </c>
    </row>
    <row r="79" spans="1:6" x14ac:dyDescent="0.25">
      <c r="A79" s="1">
        <v>46100</v>
      </c>
      <c r="B79" t="s">
        <v>38</v>
      </c>
      <c r="C79" t="s">
        <v>6</v>
      </c>
      <c r="D79">
        <v>4</v>
      </c>
      <c r="E79">
        <v>73.09</v>
      </c>
      <c r="F79">
        <f>FinalTable[[#This Row],[Quantity]]*FinalTable[[#This Row],[Unit Price]]</f>
        <v>292.36</v>
      </c>
    </row>
    <row r="80" spans="1:6" x14ac:dyDescent="0.25">
      <c r="A80" s="1">
        <v>46101</v>
      </c>
      <c r="B80" t="s">
        <v>37</v>
      </c>
      <c r="C80" t="s">
        <v>23</v>
      </c>
      <c r="D80">
        <v>59</v>
      </c>
      <c r="E80">
        <v>51.46</v>
      </c>
      <c r="F80">
        <f>FinalTable[[#This Row],[Quantity]]*FinalTable[[#This Row],[Unit Price]]</f>
        <v>3036.14</v>
      </c>
    </row>
    <row r="81" spans="1:10" x14ac:dyDescent="0.25">
      <c r="A81" s="1">
        <v>46102</v>
      </c>
      <c r="B81" t="s">
        <v>46</v>
      </c>
      <c r="C81" t="s">
        <v>8</v>
      </c>
      <c r="D81">
        <v>33</v>
      </c>
      <c r="E81">
        <v>18.809999999999999</v>
      </c>
      <c r="F81">
        <f>FinalTable[[#This Row],[Quantity]]*FinalTable[[#This Row],[Unit Price]]</f>
        <v>620.7299999999999</v>
      </c>
    </row>
    <row r="82" spans="1:10" x14ac:dyDescent="0.25">
      <c r="A82" s="1">
        <v>46103</v>
      </c>
      <c r="B82" t="s">
        <v>46</v>
      </c>
      <c r="C82" t="s">
        <v>8</v>
      </c>
      <c r="D82">
        <v>39</v>
      </c>
      <c r="E82">
        <v>17.48</v>
      </c>
      <c r="F82">
        <f>FinalTable[[#This Row],[Quantity]]*FinalTable[[#This Row],[Unit Price]]</f>
        <v>681.72</v>
      </c>
    </row>
    <row r="83" spans="1:10" x14ac:dyDescent="0.25">
      <c r="A83" s="1">
        <v>46104</v>
      </c>
      <c r="B83" t="s">
        <v>15</v>
      </c>
      <c r="C83" t="s">
        <v>16</v>
      </c>
      <c r="D83">
        <v>26</v>
      </c>
      <c r="E83">
        <v>267.83999999999997</v>
      </c>
      <c r="F83">
        <f>FinalTable[[#This Row],[Quantity]]*FinalTable[[#This Row],[Unit Price]]</f>
        <v>6963.8399999999992</v>
      </c>
    </row>
    <row r="84" spans="1:10" x14ac:dyDescent="0.25">
      <c r="A84" s="1">
        <v>46105</v>
      </c>
      <c r="B84" t="s">
        <v>24</v>
      </c>
      <c r="C84" t="s">
        <v>13</v>
      </c>
      <c r="D84">
        <v>38</v>
      </c>
      <c r="E84">
        <v>309.42</v>
      </c>
      <c r="F84">
        <f>FinalTable[[#This Row],[Quantity]]*FinalTable[[#This Row],[Unit Price]]</f>
        <v>11757.960000000001</v>
      </c>
    </row>
    <row r="85" spans="1:10" x14ac:dyDescent="0.25">
      <c r="A85" s="1">
        <v>46106</v>
      </c>
      <c r="B85" t="s">
        <v>36</v>
      </c>
      <c r="C85" t="s">
        <v>13</v>
      </c>
      <c r="D85">
        <v>27</v>
      </c>
      <c r="E85">
        <v>338.97</v>
      </c>
      <c r="F85">
        <f>FinalTable[[#This Row],[Quantity]]*FinalTable[[#This Row],[Unit Price]]</f>
        <v>9152.19</v>
      </c>
      <c r="J85" t="s">
        <v>59</v>
      </c>
    </row>
    <row r="86" spans="1:10" x14ac:dyDescent="0.25">
      <c r="A86" s="1">
        <v>46107</v>
      </c>
      <c r="B86" t="s">
        <v>12</v>
      </c>
      <c r="C86" t="s">
        <v>13</v>
      </c>
      <c r="D86">
        <v>21</v>
      </c>
      <c r="E86">
        <v>469.31</v>
      </c>
      <c r="F86">
        <f>FinalTable[[#This Row],[Quantity]]*FinalTable[[#This Row],[Unit Price]]</f>
        <v>9855.51</v>
      </c>
    </row>
    <row r="87" spans="1:10" x14ac:dyDescent="0.25">
      <c r="A87" s="1">
        <v>46108</v>
      </c>
      <c r="B87" t="s">
        <v>28</v>
      </c>
      <c r="C87" t="s">
        <v>8</v>
      </c>
      <c r="D87">
        <v>16</v>
      </c>
      <c r="E87">
        <v>39.22</v>
      </c>
      <c r="F87">
        <f>FinalTable[[#This Row],[Quantity]]*FinalTable[[#This Row],[Unit Price]]</f>
        <v>627.52</v>
      </c>
    </row>
    <row r="88" spans="1:10" x14ac:dyDescent="0.25">
      <c r="A88" s="1">
        <v>46109</v>
      </c>
      <c r="B88" t="s">
        <v>28</v>
      </c>
      <c r="C88" t="s">
        <v>8</v>
      </c>
      <c r="D88">
        <v>30</v>
      </c>
      <c r="E88">
        <v>44.78</v>
      </c>
      <c r="F88">
        <f>FinalTable[[#This Row],[Quantity]]*FinalTable[[#This Row],[Unit Price]]</f>
        <v>1343.4</v>
      </c>
    </row>
    <row r="89" spans="1:10" x14ac:dyDescent="0.25">
      <c r="A89" s="1">
        <v>46110</v>
      </c>
      <c r="B89" t="s">
        <v>30</v>
      </c>
      <c r="C89" t="s">
        <v>16</v>
      </c>
      <c r="D89">
        <v>1</v>
      </c>
      <c r="E89">
        <v>741.6</v>
      </c>
      <c r="F89">
        <f>FinalTable[[#This Row],[Quantity]]*FinalTable[[#This Row],[Unit Price]]</f>
        <v>741.6</v>
      </c>
    </row>
    <row r="90" spans="1:10" x14ac:dyDescent="0.25">
      <c r="A90" s="1">
        <v>46111</v>
      </c>
      <c r="B90" t="s">
        <v>36</v>
      </c>
      <c r="C90" t="s">
        <v>13</v>
      </c>
      <c r="D90">
        <v>5</v>
      </c>
      <c r="E90">
        <v>282.69</v>
      </c>
      <c r="F90">
        <f>FinalTable[[#This Row],[Quantity]]*FinalTable[[#This Row],[Unit Price]]</f>
        <v>1413.45</v>
      </c>
    </row>
    <row r="91" spans="1:10" x14ac:dyDescent="0.25">
      <c r="A91" s="1">
        <v>46112</v>
      </c>
      <c r="B91" t="s">
        <v>14</v>
      </c>
      <c r="C91" t="s">
        <v>13</v>
      </c>
      <c r="D91">
        <v>9</v>
      </c>
      <c r="E91">
        <v>468.63</v>
      </c>
      <c r="F91">
        <f>FinalTable[[#This Row],[Quantity]]*FinalTable[[#This Row],[Unit Price]]</f>
        <v>4217.67</v>
      </c>
    </row>
    <row r="92" spans="1:10" x14ac:dyDescent="0.25">
      <c r="A92" s="1">
        <v>46113</v>
      </c>
      <c r="B92" t="s">
        <v>26</v>
      </c>
      <c r="C92" t="s">
        <v>11</v>
      </c>
      <c r="D92">
        <v>24</v>
      </c>
      <c r="E92">
        <v>449.24</v>
      </c>
      <c r="F92">
        <f>FinalTable[[#This Row],[Quantity]]*FinalTable[[#This Row],[Unit Price]]</f>
        <v>10781.76</v>
      </c>
    </row>
    <row r="93" spans="1:10" x14ac:dyDescent="0.25">
      <c r="A93" s="1">
        <v>46114</v>
      </c>
      <c r="B93" t="s">
        <v>37</v>
      </c>
      <c r="C93" t="s">
        <v>23</v>
      </c>
      <c r="D93">
        <v>46</v>
      </c>
      <c r="E93">
        <v>19.55</v>
      </c>
      <c r="F93">
        <f>FinalTable[[#This Row],[Quantity]]*FinalTable[[#This Row],[Unit Price]]</f>
        <v>899.30000000000007</v>
      </c>
    </row>
    <row r="94" spans="1:10" x14ac:dyDescent="0.25">
      <c r="A94" s="1">
        <v>46115</v>
      </c>
      <c r="B94" t="s">
        <v>39</v>
      </c>
      <c r="C94" t="s">
        <v>16</v>
      </c>
      <c r="D94">
        <v>1</v>
      </c>
      <c r="E94">
        <v>1035.01</v>
      </c>
      <c r="F94">
        <f>FinalTable[[#This Row],[Quantity]]*FinalTable[[#This Row],[Unit Price]]</f>
        <v>1035.01</v>
      </c>
    </row>
    <row r="95" spans="1:10" x14ac:dyDescent="0.25">
      <c r="A95" s="1">
        <v>46116</v>
      </c>
      <c r="B95" t="s">
        <v>14</v>
      </c>
      <c r="C95" t="s">
        <v>13</v>
      </c>
      <c r="D95">
        <v>60</v>
      </c>
      <c r="E95">
        <v>341.79</v>
      </c>
      <c r="F95">
        <f>FinalTable[[#This Row],[Quantity]]*FinalTable[[#This Row],[Unit Price]]</f>
        <v>20507.400000000001</v>
      </c>
    </row>
    <row r="96" spans="1:10" x14ac:dyDescent="0.25">
      <c r="A96" s="1">
        <v>46117</v>
      </c>
      <c r="B96" t="s">
        <v>28</v>
      </c>
      <c r="C96" t="s">
        <v>8</v>
      </c>
      <c r="D96">
        <v>8</v>
      </c>
      <c r="E96">
        <v>107.87</v>
      </c>
      <c r="F96">
        <f>FinalTable[[#This Row],[Quantity]]*FinalTable[[#This Row],[Unit Price]]</f>
        <v>862.96</v>
      </c>
    </row>
    <row r="97" spans="1:6" x14ac:dyDescent="0.25">
      <c r="A97" s="1">
        <v>46118</v>
      </c>
      <c r="B97" t="s">
        <v>9</v>
      </c>
      <c r="C97" t="s">
        <v>6</v>
      </c>
      <c r="D97">
        <v>10</v>
      </c>
      <c r="E97">
        <v>219.75</v>
      </c>
      <c r="F97">
        <f>FinalTable[[#This Row],[Quantity]]*FinalTable[[#This Row],[Unit Price]]</f>
        <v>2197.5</v>
      </c>
    </row>
    <row r="98" spans="1:6" x14ac:dyDescent="0.25">
      <c r="A98" s="1">
        <v>46119</v>
      </c>
      <c r="B98" t="s">
        <v>24</v>
      </c>
      <c r="C98" t="s">
        <v>13</v>
      </c>
      <c r="D98">
        <v>46</v>
      </c>
      <c r="E98">
        <v>191.15</v>
      </c>
      <c r="F98">
        <f>FinalTable[[#This Row],[Quantity]]*FinalTable[[#This Row],[Unit Price]]</f>
        <v>8792.9</v>
      </c>
    </row>
    <row r="99" spans="1:6" x14ac:dyDescent="0.25">
      <c r="A99" s="1">
        <v>46120</v>
      </c>
      <c r="B99" t="s">
        <v>38</v>
      </c>
      <c r="C99" t="s">
        <v>6</v>
      </c>
      <c r="D99">
        <v>33</v>
      </c>
      <c r="E99">
        <v>362.43</v>
      </c>
      <c r="F99">
        <f>FinalTable[[#This Row],[Quantity]]*FinalTable[[#This Row],[Unit Price]]</f>
        <v>11960.19</v>
      </c>
    </row>
    <row r="100" spans="1:6" x14ac:dyDescent="0.25">
      <c r="A100" s="1">
        <v>46121</v>
      </c>
      <c r="B100" t="s">
        <v>30</v>
      </c>
      <c r="C100" t="s">
        <v>16</v>
      </c>
      <c r="D100">
        <v>6</v>
      </c>
      <c r="E100">
        <v>988</v>
      </c>
      <c r="F100">
        <f>FinalTable[[#This Row],[Quantity]]*FinalTable[[#This Row],[Unit Price]]</f>
        <v>5928</v>
      </c>
    </row>
    <row r="101" spans="1:6" x14ac:dyDescent="0.25">
      <c r="A101" s="1">
        <v>46122</v>
      </c>
      <c r="B101" t="s">
        <v>31</v>
      </c>
      <c r="C101" t="s">
        <v>16</v>
      </c>
      <c r="D101">
        <v>3</v>
      </c>
      <c r="E101">
        <v>104.96</v>
      </c>
      <c r="F101">
        <f>FinalTable[[#This Row],[Quantity]]*FinalTable[[#This Row],[Unit Price]]</f>
        <v>314.88</v>
      </c>
    </row>
    <row r="102" spans="1:6" x14ac:dyDescent="0.25">
      <c r="A102" t="s">
        <v>47</v>
      </c>
      <c r="F102">
        <f>SUBTOTAL(109,FinalTable[Revenue])</f>
        <v>1003302.5100000001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RawData</vt:lpstr>
      <vt:lpstr>Excel_Table</vt:lpstr>
      <vt:lpstr>Sorted_Table</vt:lpstr>
      <vt:lpstr>Filtered_Table</vt:lpstr>
      <vt:lpstr>Transformed_Table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2026-08-06T17:47:43Z</dcterms:created>
  <dcterms:modified xsi:type="dcterms:W3CDTF">2026-08-07T21:36:02Z</dcterms:modified>
</cp:coreProperties>
</file>