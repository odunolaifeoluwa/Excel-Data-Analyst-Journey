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Excel_Data_Analyst_Journey\Lesson-03\"/>
    </mc:Choice>
  </mc:AlternateContent>
  <xr:revisionPtr revIDLastSave="0" documentId="13_ncr:1_{516F5250-8D1D-4D6C-8E84-D0ED1F6D2195}" xr6:coauthVersionLast="47" xr6:coauthVersionMax="47" xr10:uidLastSave="{00000000-0000-0000-0000-000000000000}"/>
  <bookViews>
    <workbookView xWindow="-120" yWindow="-120" windowWidth="20730" windowHeight="11160" tabRatio="500" firstSheet="2" activeTab="5" xr2:uid="{00000000-000D-0000-FFFF-FFFF00000000}"/>
  </bookViews>
  <sheets>
    <sheet name="Raw_Data" sheetId="1" r:id="rId1"/>
    <sheet name="Relative_Reference" sheetId="2" r:id="rId2"/>
    <sheet name="Absolute_Refence" sheetId="5" r:id="rId3"/>
    <sheet name="Mixed_Refence" sheetId="6" r:id="rId4"/>
    <sheet name="Business_rule" sheetId="7" r:id="rId5"/>
    <sheet name="Final_Analysi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" i="4" l="1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3" i="6"/>
  <c r="E4" i="6"/>
  <c r="D3" i="6"/>
  <c r="D4" i="6"/>
  <c r="C3" i="6"/>
  <c r="C4" i="6"/>
  <c r="D2" i="6"/>
  <c r="E2" i="6"/>
  <c r="C2" i="6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</calcChain>
</file>

<file path=xl/sharedStrings.xml><?xml version="1.0" encoding="utf-8"?>
<sst xmlns="http://schemas.openxmlformats.org/spreadsheetml/2006/main" count="1062" uniqueCount="72">
  <si>
    <t>Salesperson</t>
  </si>
  <si>
    <t>Region</t>
  </si>
  <si>
    <t>Sales</t>
  </si>
  <si>
    <t>Target</t>
  </si>
  <si>
    <t>Chidinma</t>
  </si>
  <si>
    <t>Ibadan</t>
  </si>
  <si>
    <t>James</t>
  </si>
  <si>
    <t>Abuja</t>
  </si>
  <si>
    <t>Yusuf</t>
  </si>
  <si>
    <t>Calabar</t>
  </si>
  <si>
    <t>Chika</t>
  </si>
  <si>
    <t>Port Harcourt</t>
  </si>
  <si>
    <t>Ngozi</t>
  </si>
  <si>
    <t>Amina</t>
  </si>
  <si>
    <t>Enugu</t>
  </si>
  <si>
    <t>Fatima</t>
  </si>
  <si>
    <t>Lagos</t>
  </si>
  <si>
    <t>Sunday</t>
  </si>
  <si>
    <t>Jos</t>
  </si>
  <si>
    <t>Grace</t>
  </si>
  <si>
    <t>Peter</t>
  </si>
  <si>
    <t>Uyo</t>
  </si>
  <si>
    <t>Ilorin</t>
  </si>
  <si>
    <t>Halima</t>
  </si>
  <si>
    <t>Aba</t>
  </si>
  <si>
    <t>Funke</t>
  </si>
  <si>
    <t>Bola</t>
  </si>
  <si>
    <t>Owerri</t>
  </si>
  <si>
    <t>Femi</t>
  </si>
  <si>
    <t>Benin City</t>
  </si>
  <si>
    <t>Nnamdi</t>
  </si>
  <si>
    <t>Hassan</t>
  </si>
  <si>
    <t>Tunde</t>
  </si>
  <si>
    <t>Ikenna</t>
  </si>
  <si>
    <t>Warri</t>
  </si>
  <si>
    <t>Ola</t>
  </si>
  <si>
    <t>Onitsha</t>
  </si>
  <si>
    <t>Emeka</t>
  </si>
  <si>
    <t>Zainab</t>
  </si>
  <si>
    <t>Maiduguri</t>
  </si>
  <si>
    <t>Musa</t>
  </si>
  <si>
    <t>David</t>
  </si>
  <si>
    <t>Chinedu</t>
  </si>
  <si>
    <t>Sokoto</t>
  </si>
  <si>
    <t>Kaduna</t>
  </si>
  <si>
    <t>Rita</t>
  </si>
  <si>
    <t>Kano</t>
  </si>
  <si>
    <t>Segun</t>
  </si>
  <si>
    <t>Ade</t>
  </si>
  <si>
    <t>Blessing</t>
  </si>
  <si>
    <t>Target_Achievement</t>
  </si>
  <si>
    <t>Performance_Status</t>
  </si>
  <si>
    <t>commission rate</t>
  </si>
  <si>
    <t>Commission</t>
  </si>
  <si>
    <t>Below Target</t>
  </si>
  <si>
    <t>Target Achieved</t>
  </si>
  <si>
    <t>Above Target</t>
  </si>
  <si>
    <t>Performance Status</t>
  </si>
  <si>
    <t>Multiplier</t>
  </si>
  <si>
    <t>Achievement</t>
  </si>
  <si>
    <t>Status</t>
  </si>
  <si>
    <t>₦850,000</t>
  </si>
  <si>
    <t>₦1,000,000</t>
  </si>
  <si>
    <t>₦34,000</t>
  </si>
  <si>
    <t>₦1,250,000</t>
  </si>
  <si>
    <t>₦75,000</t>
  </si>
  <si>
    <t>₦950,000</t>
  </si>
  <si>
    <t>₦38,000</t>
  </si>
  <si>
    <t>₦1,400,000</t>
  </si>
  <si>
    <t>₦1,200,000</t>
  </si>
  <si>
    <t>₦84,000</t>
  </si>
  <si>
    <t>commissio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</si>
</sst>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[$₦-46A]* #,##0.00_-;\-[$₦-46A]* #,##0.00_-;_-[$₦-46A]* &quot;-&quot;??_-;_-@_-"/>
    <numFmt numFmtId="169" formatCode="0.0%"/>
    <numFmt numFmtId="172" formatCode="0.0"/>
    <numFmt numFmtId="174" formatCode="_-[$₦-46A]* #,##0_-;\-[$₦-46A]* #,##0_-;_-[$₦-46A]* &quot;-&quot;_-;_-@_-"/>
    <numFmt numFmtId="180" formatCode="_-[$₦-46A]* #,##0_-;\-[$₦-46A]* #,##0_-;_-[$₦-46A]* &quot;-&quot;??_-;_-@_-"/>
  </numFmts>
  <fonts count="8" x14ac:knownFonts="1">
    <font>
      <sz val="11"/>
      <color theme="1"/>
      <name val="Calibri"/>
      <family val="2"/>
      <charset val="1"/>
    </font>
    <font>
      <sz val="10"/>
      <name val="Arial"/>
    </font>
    <font>
      <b/>
      <sz val="11"/>
      <name val="Arial"/>
      <charset val="1"/>
    </font>
    <font>
      <sz val="11"/>
      <name val="Arial"/>
      <charset val="1"/>
    </font>
    <font>
      <sz val="10"/>
      <name val="Arial"/>
      <family val="2"/>
    </font>
    <font>
      <b/>
      <sz val="11"/>
      <color theme="1"/>
      <name val="Calibri"/>
      <family val="2"/>
      <charset val="1"/>
    </font>
    <font>
      <sz val="11"/>
      <name val="Arial"/>
      <family val="2"/>
    </font>
    <font>
      <b/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right"/>
    </xf>
    <xf numFmtId="164" fontId="0" fillId="0" borderId="0" xfId="0" applyNumberFormat="1"/>
    <xf numFmtId="10" fontId="1" fillId="0" borderId="0" xfId="1" applyNumberFormat="1" applyAlignment="1">
      <alignment horizontal="right"/>
    </xf>
    <xf numFmtId="10" fontId="1" fillId="0" borderId="0" xfId="1" applyNumberFormat="1"/>
    <xf numFmtId="10" fontId="4" fillId="0" borderId="0" xfId="1" applyNumberFormat="1" applyFont="1" applyAlignment="1">
      <alignment horizontal="center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164" fontId="6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0" fontId="1" fillId="0" borderId="0" xfId="1" applyNumberFormat="1" applyAlignment="1">
      <alignment horizontal="center"/>
    </xf>
    <xf numFmtId="9" fontId="5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9" fontId="0" fillId="0" borderId="0" xfId="0" applyNumberFormat="1"/>
    <xf numFmtId="9" fontId="0" fillId="0" borderId="0" xfId="0" applyNumberFormat="1" applyAlignment="1">
      <alignment horizontal="right" vertical="center" wrapText="1"/>
    </xf>
    <xf numFmtId="0" fontId="0" fillId="0" borderId="0" xfId="0" applyAlignment="1"/>
    <xf numFmtId="169" fontId="1" fillId="0" borderId="0" xfId="1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9" fontId="0" fillId="0" borderId="0" xfId="0" applyNumberFormat="1" applyAlignment="1">
      <alignment horizontal="right" vertical="center"/>
    </xf>
    <xf numFmtId="10" fontId="0" fillId="0" borderId="0" xfId="0" applyNumberFormat="1" applyAlignment="1">
      <alignment horizontal="right" vertical="center"/>
    </xf>
    <xf numFmtId="172" fontId="1" fillId="0" borderId="0" xfId="1" applyNumberFormat="1" applyAlignment="1">
      <alignment horizontal="right"/>
    </xf>
    <xf numFmtId="174" fontId="4" fillId="0" borderId="0" xfId="1" applyNumberFormat="1" applyFont="1" applyAlignment="1">
      <alignment horizontal="center"/>
    </xf>
    <xf numFmtId="174" fontId="1" fillId="0" borderId="0" xfId="1" applyNumberFormat="1" applyAlignment="1">
      <alignment horizontal="right"/>
    </xf>
    <xf numFmtId="174" fontId="0" fillId="0" borderId="0" xfId="0" applyNumberFormat="1"/>
    <xf numFmtId="180" fontId="2" fillId="0" borderId="0" xfId="0" applyNumberFormat="1" applyFont="1" applyAlignment="1">
      <alignment horizontal="center"/>
    </xf>
    <xf numFmtId="180" fontId="3" fillId="0" borderId="0" xfId="0" applyNumberFormat="1" applyFont="1" applyAlignment="1">
      <alignment horizontal="right"/>
    </xf>
    <xf numFmtId="180" fontId="0" fillId="0" borderId="0" xfId="0" applyNumberFormat="1"/>
  </cellXfs>
  <cellStyles count="2">
    <cellStyle name="Normal" xfId="0" builtinId="0"/>
    <cellStyle name="Percent" xfId="1" builtinId="5"/>
  </cellStyles>
  <dxfs count="24">
    <dxf>
      <numFmt numFmtId="14" formatCode="0.00%"/>
      <alignment horizontal="right" vertical="bottom" textRotation="0" wrapText="0" indent="0" justifyLastLine="0" shrinkToFit="0" readingOrder="0"/>
    </dxf>
    <dxf>
      <numFmt numFmtId="172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80" formatCode="_-[$₦-46A]* #,##0_-;\-[$₦-46A]* #,##0_-;_-[$₦-46A]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64" formatCode="_-[$₦-46A]* #,##0.00_-;\-[$₦-46A]* #,##0.00_-;_-[$₦-46A]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80" formatCode="_-[$₦-46A]* #,##0_-;\-[$₦-46A]* #,##0_-;_-[$₦-46A]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80" formatCode="_-[$₦-46A]* #,##0_-;\-[$₦-46A]* #,##0_-;_-[$₦-46A]* &quot;-&quot;??_-;_-@_-"/>
      <alignment horizontal="right" vertical="bottom" textRotation="0" wrapText="0" indent="0" justifyLastLine="0" shrinkToFit="0" readingOrder="0"/>
    </dxf>
    <dxf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80" formatCode="_-[$₦-46A]* #,##0_-;\-[$₦-46A]* #,##0_-;_-[$₦-46A]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left" vertical="bottom" textRotation="0" wrapText="0" indent="0" justifyLastLine="0" shrinkToFit="0" readingOrder="0"/>
    </dxf>
    <dxf>
      <numFmt numFmtId="174" formatCode="_-[$₦-46A]* #,##0_-;\-[$₦-46A]* #,##0_-;_-[$₦-46A]* &quot;-&quot;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80" formatCode="_-[$₦-46A]* #,##0_-;\-[$₦-46A]* #,##0_-;_-[$₦-46A]* &quot;-&quot;??_-;_-@_-"/>
      <alignment horizontal="right" vertical="bottom" textRotation="0" wrapText="0" indent="0" justifyLastLine="0" shrinkToFit="0" readingOrder="0"/>
    </dxf>
    <dxf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80" formatCode="_-[$₦-46A]* #,##0_-;\-[$₦-46A]* #,##0_-;_-[$₦-46A]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64" formatCode="_-[$₦-46A]* #,##0.00_-;\-[$₦-46A]* #,##0.00_-;_-[$₦-46A]* &quot;-&quot;??_-;_-@_-"/>
      <alignment horizontal="right" vertical="bottom" textRotation="0" wrapText="0" indent="0" justifyLastLine="0" shrinkToFit="0" readingOrder="0"/>
    </dxf>
    <dxf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64" formatCode="_-[$₦-46A]* #,##0.00_-;\-[$₦-46A]* #,##0.00_-;_-[$₦-46A]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64" formatCode="_-[$₦-46A]* #,##0.00_-;\-[$₦-46A]* #,##0.00_-;_-[$₦-46A]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E0371C-334E-4F61-BA3D-8D1FDA1E1429}" name="SalesData" displayName="SalesData" ref="A1:E101" totalsRowShown="0">
  <autoFilter ref="A1:E101" xr:uid="{F3E0371C-334E-4F61-BA3D-8D1FDA1E1429}"/>
  <tableColumns count="5">
    <tableColumn id="1" xr3:uid="{2A023005-DA62-4905-8CB9-B3659DA5C55A}" name="Salesperson" dataDxfId="22"/>
    <tableColumn id="2" xr3:uid="{B7E99B0C-87CF-47A6-8B4D-BDAB54EFC0E5}" name="Region" dataDxfId="9"/>
    <tableColumn id="3" xr3:uid="{BE6431A8-EB74-4E55-9116-D371EA25A103}" name="Sales" dataDxfId="8"/>
    <tableColumn id="4" xr3:uid="{124967CB-ABCF-4621-9878-774E948A1399}" name="Target" dataDxfId="6"/>
    <tableColumn id="5" xr3:uid="{D102C746-B91B-4CD2-85B3-A00CC77D4011}" name="Target_Achievement" dataDxfId="7" dataCellStyle="Percent">
      <calculatedColumnFormula>SalesData[[#This Row],[Sales]]/SalesData[[#This Row],[Target]]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0AD900-8979-4638-91FE-9DF20ABE81C0}" name="Table2" displayName="Table2" ref="A1:E101" totalsRowShown="0">
  <autoFilter ref="A1:E101" xr:uid="{B30AD900-8979-4638-91FE-9DF20ABE81C0}"/>
  <tableColumns count="5">
    <tableColumn id="1" xr3:uid="{6DFBC007-9A75-4317-B656-4B2D52557468}" name="Salesperson" dataDxfId="23"/>
    <tableColumn id="2" xr3:uid="{39A35324-AD3E-4890-A881-03DCB07E00C2}" name="Region" dataDxfId="5"/>
    <tableColumn id="3" xr3:uid="{4D6409FA-E629-42AA-915A-199CEDB6D9E5}" name="Sales" dataDxfId="4"/>
    <tableColumn id="4" xr3:uid="{503FD2EF-939E-422D-AE1D-BE1B8FFBD9AD}" name="Target" dataDxfId="2"/>
    <tableColumn id="5" xr3:uid="{B881C244-4105-4CAF-AD26-927BB845FAE4}" name="Commission" dataDxfId="3">
      <calculatedColumnFormula>Table2[[#This Row],[Sales]]*$G$2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C9266F-C689-4999-BCB8-ED5356D5CF41}" name="Table3" displayName="Table3" ref="A1:F101" totalsRowShown="0">
  <autoFilter ref="A1:F101" xr:uid="{8EC9266F-C689-4999-BCB8-ED5356D5CF41}"/>
  <tableColumns count="6">
    <tableColumn id="1" xr3:uid="{50A42E6D-F5B2-46EA-A031-348C3BA2E398}" name="Salesperson" dataDxfId="21"/>
    <tableColumn id="2" xr3:uid="{7AA2E647-F194-4568-BFA3-328221F72544}" name="Region" dataDxfId="20"/>
    <tableColumn id="3" xr3:uid="{F2960502-F8D3-412F-9A5D-C0F56EE08D18}" name="Sales" dataDxfId="19"/>
    <tableColumn id="4" xr3:uid="{EDC7DFA2-6DF6-4C67-881A-62D7A93919DD}" name="Target" dataDxfId="18"/>
    <tableColumn id="6" xr3:uid="{198AF868-67A9-497A-B8F6-405E7DD8A52A}" name="Target_Achievement" dataDxfId="17" dataCellStyle="Percent">
      <calculatedColumnFormula>Table3[[#This Row],[Sales]]/Table3[[#This Row],[Target]]</calculatedColumnFormula>
    </tableColumn>
    <tableColumn id="5" xr3:uid="{FCA14CEE-29DE-4F6B-8977-7E8ED3C8F00E}" name="Performance_Status" dataDxfId="16">
      <calculatedColumnFormula>IF(Table3[[#This Row],[Target_Achievement]]&gt;100%,"Target Achieved","Below Target")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699D96-387E-43D2-BDBC-D5E8734C79AA}" name="Table5" displayName="Table5" ref="A1:H101" totalsRowShown="0">
  <autoFilter ref="A1:H101" xr:uid="{33699D96-387E-43D2-BDBC-D5E8734C79AA}"/>
  <tableColumns count="8">
    <tableColumn id="1" xr3:uid="{056DF319-3A9D-448E-B517-9D1DEDBED29F}" name="Salesperson" dataDxfId="15"/>
    <tableColumn id="2" xr3:uid="{3EAC8FC5-FEAB-4A34-BEFD-C1156656C4C9}" name="Region" dataDxfId="14"/>
    <tableColumn id="3" xr3:uid="{5634DE40-36D6-4D8B-B96A-CC757DD17488}" name="Sales" dataDxfId="13"/>
    <tableColumn id="4" xr3:uid="{A1FD961C-122F-4A7A-A199-44EFF4A54D48}" name="Target" dataDxfId="11"/>
    <tableColumn id="5" xr3:uid="{8CA3B1EF-ABF1-4DB7-97D3-6D6553619568}" name="Target_Achievement" dataDxfId="12" dataCellStyle="Percent">
      <calculatedColumnFormula>Table5[[#This Row],[Sales]]/Table5[[#This Row],[Target]]</calculatedColumnFormula>
    </tableColumn>
    <tableColumn id="6" xr3:uid="{27C01CD7-63D3-4531-A3BD-E1485A688E41}" name="Performance_Status" dataDxfId="0" dataCellStyle="Percent">
      <calculatedColumnFormula>IF(E2&lt;100%,"Below Target",IF(E2=100%,"Target Achieved","Above Target"))</calculatedColumnFormula>
    </tableColumn>
    <tableColumn id="7" xr3:uid="{DF793379-47BF-4B75-B680-976CF441B4BC}" name="Multiplier" dataDxfId="1" dataCellStyle="Percent">
      <calculatedColumnFormula>IF(Table5[[#This Row],[Performance_Status]]="Below Target",0.8,IF(Table5[[#This Row],[Performance_Status]]="Target Achieved",1,1.2))</calculatedColumnFormula>
    </tableColumn>
    <tableColumn id="8" xr3:uid="{922B5646-770F-4B60-9ABF-6E53FA3EE306}" name="Commission" dataDxfId="10" dataCellStyle="Percent">
      <calculatedColumnFormula>Table5[[#This Row],[Sales]]*$K$2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zoomScaleNormal="100" workbookViewId="0">
      <selection activeCell="I8" sqref="I8"/>
    </sheetView>
  </sheetViews>
  <sheetFormatPr defaultColWidth="8.7109375" defaultRowHeight="15" x14ac:dyDescent="0.25"/>
  <cols>
    <col min="1" max="2" width="16" customWidth="1"/>
    <col min="3" max="4" width="16.140625" style="5" bestFit="1" customWidth="1"/>
  </cols>
  <sheetData>
    <row r="1" spans="1:4" x14ac:dyDescent="0.25">
      <c r="A1" s="1" t="s">
        <v>0</v>
      </c>
      <c r="B1" s="1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2" t="s">
        <v>5</v>
      </c>
      <c r="C2" s="4">
        <v>800000</v>
      </c>
      <c r="D2" s="4">
        <v>700000</v>
      </c>
    </row>
    <row r="3" spans="1:4" x14ac:dyDescent="0.25">
      <c r="A3" s="2" t="s">
        <v>6</v>
      </c>
      <c r="B3" s="2" t="s">
        <v>7</v>
      </c>
      <c r="C3" s="4">
        <v>910000</v>
      </c>
      <c r="D3" s="4">
        <v>800000</v>
      </c>
    </row>
    <row r="4" spans="1:4" x14ac:dyDescent="0.25">
      <c r="A4" s="2" t="s">
        <v>8</v>
      </c>
      <c r="B4" s="2" t="s">
        <v>9</v>
      </c>
      <c r="C4" s="4">
        <v>770000</v>
      </c>
      <c r="D4" s="4">
        <v>750000</v>
      </c>
    </row>
    <row r="5" spans="1:4" x14ac:dyDescent="0.25">
      <c r="A5" s="2" t="s">
        <v>10</v>
      </c>
      <c r="B5" s="2" t="s">
        <v>11</v>
      </c>
      <c r="C5" s="4">
        <v>540000</v>
      </c>
      <c r="D5" s="4">
        <v>750000</v>
      </c>
    </row>
    <row r="6" spans="1:4" x14ac:dyDescent="0.25">
      <c r="A6" s="2" t="s">
        <v>12</v>
      </c>
      <c r="B6" s="2" t="s">
        <v>11</v>
      </c>
      <c r="C6" s="4">
        <v>780000</v>
      </c>
      <c r="D6" s="4">
        <v>1100000</v>
      </c>
    </row>
    <row r="7" spans="1:4" x14ac:dyDescent="0.25">
      <c r="A7" s="2" t="s">
        <v>4</v>
      </c>
      <c r="B7" s="2" t="s">
        <v>9</v>
      </c>
      <c r="C7" s="4">
        <v>730000</v>
      </c>
      <c r="D7" s="4">
        <v>1000000</v>
      </c>
    </row>
    <row r="8" spans="1:4" x14ac:dyDescent="0.25">
      <c r="A8" s="2" t="s">
        <v>13</v>
      </c>
      <c r="B8" s="2" t="s">
        <v>14</v>
      </c>
      <c r="C8" s="4">
        <v>1620000</v>
      </c>
      <c r="D8" s="4">
        <v>1300000</v>
      </c>
    </row>
    <row r="9" spans="1:4" x14ac:dyDescent="0.25">
      <c r="A9" s="2" t="s">
        <v>15</v>
      </c>
      <c r="B9" s="2" t="s">
        <v>16</v>
      </c>
      <c r="C9" s="4">
        <v>1110000</v>
      </c>
      <c r="D9" s="4">
        <v>1250000</v>
      </c>
    </row>
    <row r="10" spans="1:4" x14ac:dyDescent="0.25">
      <c r="A10" s="2" t="s">
        <v>17</v>
      </c>
      <c r="B10" s="2" t="s">
        <v>18</v>
      </c>
      <c r="C10" s="4">
        <v>1120000</v>
      </c>
      <c r="D10" s="4">
        <v>850000</v>
      </c>
    </row>
    <row r="11" spans="1:4" x14ac:dyDescent="0.25">
      <c r="A11" s="2" t="s">
        <v>19</v>
      </c>
      <c r="B11" s="2" t="s">
        <v>5</v>
      </c>
      <c r="C11" s="4">
        <v>640000</v>
      </c>
      <c r="D11" s="4">
        <v>750000</v>
      </c>
    </row>
    <row r="12" spans="1:4" x14ac:dyDescent="0.25">
      <c r="A12" s="2" t="s">
        <v>20</v>
      </c>
      <c r="B12" s="2" t="s">
        <v>21</v>
      </c>
      <c r="C12" s="4">
        <v>880000</v>
      </c>
      <c r="D12" s="4">
        <v>1150000</v>
      </c>
    </row>
    <row r="13" spans="1:4" x14ac:dyDescent="0.25">
      <c r="A13" s="2" t="s">
        <v>10</v>
      </c>
      <c r="B13" s="2" t="s">
        <v>22</v>
      </c>
      <c r="C13" s="4">
        <v>710000</v>
      </c>
      <c r="D13" s="4">
        <v>1100000</v>
      </c>
    </row>
    <row r="14" spans="1:4" x14ac:dyDescent="0.25">
      <c r="A14" s="2" t="s">
        <v>23</v>
      </c>
      <c r="B14" s="2" t="s">
        <v>24</v>
      </c>
      <c r="C14" s="4">
        <v>740000</v>
      </c>
      <c r="D14" s="4">
        <v>750000</v>
      </c>
    </row>
    <row r="15" spans="1:4" x14ac:dyDescent="0.25">
      <c r="A15" s="2" t="s">
        <v>25</v>
      </c>
      <c r="B15" s="2" t="s">
        <v>21</v>
      </c>
      <c r="C15" s="4">
        <v>810000</v>
      </c>
      <c r="D15" s="4">
        <v>1150000</v>
      </c>
    </row>
    <row r="16" spans="1:4" x14ac:dyDescent="0.25">
      <c r="A16" s="2" t="s">
        <v>26</v>
      </c>
      <c r="B16" s="2" t="s">
        <v>27</v>
      </c>
      <c r="C16" s="4">
        <v>880000</v>
      </c>
      <c r="D16" s="4">
        <v>1200000</v>
      </c>
    </row>
    <row r="17" spans="1:4" x14ac:dyDescent="0.25">
      <c r="A17" s="2" t="s">
        <v>28</v>
      </c>
      <c r="B17" s="2" t="s">
        <v>29</v>
      </c>
      <c r="C17" s="4">
        <v>990000</v>
      </c>
      <c r="D17" s="4">
        <v>1350000</v>
      </c>
    </row>
    <row r="18" spans="1:4" x14ac:dyDescent="0.25">
      <c r="A18" s="2" t="s">
        <v>30</v>
      </c>
      <c r="B18" s="2" t="s">
        <v>24</v>
      </c>
      <c r="C18" s="4">
        <v>820000</v>
      </c>
      <c r="D18" s="4">
        <v>900000</v>
      </c>
    </row>
    <row r="19" spans="1:4" x14ac:dyDescent="0.25">
      <c r="A19" s="2" t="s">
        <v>25</v>
      </c>
      <c r="B19" s="2" t="s">
        <v>21</v>
      </c>
      <c r="C19" s="4">
        <v>680000</v>
      </c>
      <c r="D19" s="4">
        <v>800000</v>
      </c>
    </row>
    <row r="20" spans="1:4" x14ac:dyDescent="0.25">
      <c r="A20" s="2" t="s">
        <v>31</v>
      </c>
      <c r="B20" s="2" t="s">
        <v>14</v>
      </c>
      <c r="C20" s="4">
        <v>1620000</v>
      </c>
      <c r="D20" s="4">
        <v>1250000</v>
      </c>
    </row>
    <row r="21" spans="1:4" x14ac:dyDescent="0.25">
      <c r="A21" s="2" t="s">
        <v>4</v>
      </c>
      <c r="B21" s="2" t="s">
        <v>29</v>
      </c>
      <c r="C21" s="4">
        <v>1220000</v>
      </c>
      <c r="D21" s="4">
        <v>1150000</v>
      </c>
    </row>
    <row r="22" spans="1:4" x14ac:dyDescent="0.25">
      <c r="A22" s="2" t="s">
        <v>32</v>
      </c>
      <c r="B22" s="2" t="s">
        <v>7</v>
      </c>
      <c r="C22" s="4">
        <v>740000</v>
      </c>
      <c r="D22" s="4">
        <v>800000</v>
      </c>
    </row>
    <row r="23" spans="1:4" x14ac:dyDescent="0.25">
      <c r="A23" s="2" t="s">
        <v>17</v>
      </c>
      <c r="B23" s="2" t="s">
        <v>9</v>
      </c>
      <c r="C23" s="4">
        <v>930000</v>
      </c>
      <c r="D23" s="4">
        <v>850000</v>
      </c>
    </row>
    <row r="24" spans="1:4" x14ac:dyDescent="0.25">
      <c r="A24" s="2" t="s">
        <v>25</v>
      </c>
      <c r="B24" s="2" t="s">
        <v>27</v>
      </c>
      <c r="C24" s="4">
        <v>1030000</v>
      </c>
      <c r="D24" s="4">
        <v>850000</v>
      </c>
    </row>
    <row r="25" spans="1:4" x14ac:dyDescent="0.25">
      <c r="A25" s="2" t="s">
        <v>33</v>
      </c>
      <c r="B25" s="2" t="s">
        <v>34</v>
      </c>
      <c r="C25" s="4">
        <v>760000</v>
      </c>
      <c r="D25" s="4">
        <v>1000000</v>
      </c>
    </row>
    <row r="26" spans="1:4" x14ac:dyDescent="0.25">
      <c r="A26" s="2" t="s">
        <v>31</v>
      </c>
      <c r="B26" s="2" t="s">
        <v>34</v>
      </c>
      <c r="C26" s="4">
        <v>910000</v>
      </c>
      <c r="D26" s="4">
        <v>850000</v>
      </c>
    </row>
    <row r="27" spans="1:4" x14ac:dyDescent="0.25">
      <c r="A27" s="2" t="s">
        <v>35</v>
      </c>
      <c r="B27" s="2" t="s">
        <v>22</v>
      </c>
      <c r="C27" s="4">
        <v>610000</v>
      </c>
      <c r="D27" s="4">
        <v>800000</v>
      </c>
    </row>
    <row r="28" spans="1:4" x14ac:dyDescent="0.25">
      <c r="A28" s="2" t="s">
        <v>6</v>
      </c>
      <c r="B28" s="2" t="s">
        <v>9</v>
      </c>
      <c r="C28" s="4">
        <v>840000</v>
      </c>
      <c r="D28" s="4">
        <v>1100000</v>
      </c>
    </row>
    <row r="29" spans="1:4" x14ac:dyDescent="0.25">
      <c r="A29" s="2" t="s">
        <v>13</v>
      </c>
      <c r="B29" s="2" t="s">
        <v>36</v>
      </c>
      <c r="C29" s="4">
        <v>1420000</v>
      </c>
      <c r="D29" s="4">
        <v>1400000</v>
      </c>
    </row>
    <row r="30" spans="1:4" x14ac:dyDescent="0.25">
      <c r="A30" s="2" t="s">
        <v>20</v>
      </c>
      <c r="B30" s="2" t="s">
        <v>7</v>
      </c>
      <c r="C30" s="4">
        <v>770000</v>
      </c>
      <c r="D30" s="4">
        <v>800000</v>
      </c>
    </row>
    <row r="31" spans="1:4" x14ac:dyDescent="0.25">
      <c r="A31" s="2" t="s">
        <v>26</v>
      </c>
      <c r="B31" s="2" t="s">
        <v>27</v>
      </c>
      <c r="C31" s="4">
        <v>860000</v>
      </c>
      <c r="D31" s="4">
        <v>1350000</v>
      </c>
    </row>
    <row r="32" spans="1:4" x14ac:dyDescent="0.25">
      <c r="A32" s="2" t="s">
        <v>4</v>
      </c>
      <c r="B32" s="2" t="s">
        <v>16</v>
      </c>
      <c r="C32" s="4">
        <v>1420000</v>
      </c>
      <c r="D32" s="4">
        <v>1300000</v>
      </c>
    </row>
    <row r="33" spans="1:4" x14ac:dyDescent="0.25">
      <c r="A33" s="2" t="s">
        <v>37</v>
      </c>
      <c r="B33" s="2" t="s">
        <v>29</v>
      </c>
      <c r="C33" s="4">
        <v>860000</v>
      </c>
      <c r="D33" s="4">
        <v>1000000</v>
      </c>
    </row>
    <row r="34" spans="1:4" x14ac:dyDescent="0.25">
      <c r="A34" s="2" t="s">
        <v>38</v>
      </c>
      <c r="B34" s="2" t="s">
        <v>39</v>
      </c>
      <c r="C34" s="4">
        <v>1190000</v>
      </c>
      <c r="D34" s="4">
        <v>900000</v>
      </c>
    </row>
    <row r="35" spans="1:4" x14ac:dyDescent="0.25">
      <c r="A35" s="2" t="s">
        <v>40</v>
      </c>
      <c r="B35" s="2" t="s">
        <v>11</v>
      </c>
      <c r="C35" s="4">
        <v>1350000</v>
      </c>
      <c r="D35" s="4">
        <v>1200000</v>
      </c>
    </row>
    <row r="36" spans="1:4" x14ac:dyDescent="0.25">
      <c r="A36" s="2" t="s">
        <v>8</v>
      </c>
      <c r="B36" s="2" t="s">
        <v>9</v>
      </c>
      <c r="C36" s="4">
        <v>990000</v>
      </c>
      <c r="D36" s="4">
        <v>1300000</v>
      </c>
    </row>
    <row r="37" spans="1:4" x14ac:dyDescent="0.25">
      <c r="A37" s="2" t="s">
        <v>4</v>
      </c>
      <c r="B37" s="2" t="s">
        <v>34</v>
      </c>
      <c r="C37" s="4">
        <v>590000</v>
      </c>
      <c r="D37" s="4">
        <v>750000</v>
      </c>
    </row>
    <row r="38" spans="1:4" x14ac:dyDescent="0.25">
      <c r="A38" s="2" t="s">
        <v>41</v>
      </c>
      <c r="B38" s="2" t="s">
        <v>22</v>
      </c>
      <c r="C38" s="4">
        <v>920000</v>
      </c>
      <c r="D38" s="4">
        <v>700000</v>
      </c>
    </row>
    <row r="39" spans="1:4" x14ac:dyDescent="0.25">
      <c r="A39" s="2" t="s">
        <v>42</v>
      </c>
      <c r="B39" s="2" t="s">
        <v>14</v>
      </c>
      <c r="C39" s="4">
        <v>1280000</v>
      </c>
      <c r="D39" s="4">
        <v>1100000</v>
      </c>
    </row>
    <row r="40" spans="1:4" x14ac:dyDescent="0.25">
      <c r="A40" s="2" t="s">
        <v>12</v>
      </c>
      <c r="B40" s="2" t="s">
        <v>5</v>
      </c>
      <c r="C40" s="4">
        <v>1420000</v>
      </c>
      <c r="D40" s="4">
        <v>1350000</v>
      </c>
    </row>
    <row r="41" spans="1:4" x14ac:dyDescent="0.25">
      <c r="A41" s="2" t="s">
        <v>25</v>
      </c>
      <c r="B41" s="2" t="s">
        <v>39</v>
      </c>
      <c r="C41" s="4">
        <v>820000</v>
      </c>
      <c r="D41" s="4">
        <v>1150000</v>
      </c>
    </row>
    <row r="42" spans="1:4" x14ac:dyDescent="0.25">
      <c r="A42" s="2" t="s">
        <v>20</v>
      </c>
      <c r="B42" s="2" t="s">
        <v>16</v>
      </c>
      <c r="C42" s="4">
        <v>1440000</v>
      </c>
      <c r="D42" s="4">
        <v>1100000</v>
      </c>
    </row>
    <row r="43" spans="1:4" x14ac:dyDescent="0.25">
      <c r="A43" s="2" t="s">
        <v>23</v>
      </c>
      <c r="B43" s="2" t="s">
        <v>39</v>
      </c>
      <c r="C43" s="4">
        <v>770000</v>
      </c>
      <c r="D43" s="4">
        <v>1400000</v>
      </c>
    </row>
    <row r="44" spans="1:4" x14ac:dyDescent="0.25">
      <c r="A44" s="2" t="s">
        <v>19</v>
      </c>
      <c r="B44" s="2" t="s">
        <v>43</v>
      </c>
      <c r="C44" s="4">
        <v>450000</v>
      </c>
      <c r="D44" s="4">
        <v>700000</v>
      </c>
    </row>
    <row r="45" spans="1:4" x14ac:dyDescent="0.25">
      <c r="A45" s="2" t="s">
        <v>20</v>
      </c>
      <c r="B45" s="2" t="s">
        <v>44</v>
      </c>
      <c r="C45" s="4">
        <v>510000</v>
      </c>
      <c r="D45" s="4">
        <v>850000</v>
      </c>
    </row>
    <row r="46" spans="1:4" x14ac:dyDescent="0.25">
      <c r="A46" s="2" t="s">
        <v>42</v>
      </c>
      <c r="B46" s="2" t="s">
        <v>29</v>
      </c>
      <c r="C46" s="4">
        <v>850000</v>
      </c>
      <c r="D46" s="4">
        <v>750000</v>
      </c>
    </row>
    <row r="47" spans="1:4" x14ac:dyDescent="0.25">
      <c r="A47" s="2" t="s">
        <v>25</v>
      </c>
      <c r="B47" s="2" t="s">
        <v>29</v>
      </c>
      <c r="C47" s="4">
        <v>1270000</v>
      </c>
      <c r="D47" s="4">
        <v>1300000</v>
      </c>
    </row>
    <row r="48" spans="1:4" x14ac:dyDescent="0.25">
      <c r="A48" s="2" t="s">
        <v>45</v>
      </c>
      <c r="B48" s="2" t="s">
        <v>18</v>
      </c>
      <c r="C48" s="4">
        <v>1120000</v>
      </c>
      <c r="D48" s="4">
        <v>1200000</v>
      </c>
    </row>
    <row r="49" spans="1:4" x14ac:dyDescent="0.25">
      <c r="A49" s="2" t="s">
        <v>32</v>
      </c>
      <c r="B49" s="2" t="s">
        <v>16</v>
      </c>
      <c r="C49" s="4">
        <v>870000</v>
      </c>
      <c r="D49" s="4">
        <v>900000</v>
      </c>
    </row>
    <row r="50" spans="1:4" x14ac:dyDescent="0.25">
      <c r="A50" s="2" t="s">
        <v>37</v>
      </c>
      <c r="B50" s="2" t="s">
        <v>36</v>
      </c>
      <c r="C50" s="4">
        <v>1100000</v>
      </c>
      <c r="D50" s="4">
        <v>850000</v>
      </c>
    </row>
    <row r="51" spans="1:4" x14ac:dyDescent="0.25">
      <c r="A51" s="2" t="s">
        <v>15</v>
      </c>
      <c r="B51" s="2" t="s">
        <v>46</v>
      </c>
      <c r="C51" s="4">
        <v>1000000</v>
      </c>
      <c r="D51" s="4">
        <v>1250000</v>
      </c>
    </row>
    <row r="52" spans="1:4" x14ac:dyDescent="0.25">
      <c r="A52" s="2" t="s">
        <v>8</v>
      </c>
      <c r="B52" s="2" t="s">
        <v>21</v>
      </c>
      <c r="C52" s="4">
        <v>1330000</v>
      </c>
      <c r="D52" s="4">
        <v>1050000</v>
      </c>
    </row>
    <row r="53" spans="1:4" x14ac:dyDescent="0.25">
      <c r="A53" s="2" t="s">
        <v>38</v>
      </c>
      <c r="B53" s="2" t="s">
        <v>5</v>
      </c>
      <c r="C53" s="4">
        <v>620000</v>
      </c>
      <c r="D53" s="4">
        <v>850000</v>
      </c>
    </row>
    <row r="54" spans="1:4" x14ac:dyDescent="0.25">
      <c r="A54" s="2" t="s">
        <v>19</v>
      </c>
      <c r="B54" s="2" t="s">
        <v>11</v>
      </c>
      <c r="C54" s="4">
        <v>1140000</v>
      </c>
      <c r="D54" s="4">
        <v>1150000</v>
      </c>
    </row>
    <row r="55" spans="1:4" x14ac:dyDescent="0.25">
      <c r="A55" s="2" t="s">
        <v>13</v>
      </c>
      <c r="B55" s="2" t="s">
        <v>7</v>
      </c>
      <c r="C55" s="4">
        <v>420000</v>
      </c>
      <c r="D55" s="4">
        <v>700000</v>
      </c>
    </row>
    <row r="56" spans="1:4" x14ac:dyDescent="0.25">
      <c r="A56" s="2" t="s">
        <v>4</v>
      </c>
      <c r="B56" s="2" t="s">
        <v>27</v>
      </c>
      <c r="C56" s="4">
        <v>510000</v>
      </c>
      <c r="D56" s="4">
        <v>850000</v>
      </c>
    </row>
    <row r="57" spans="1:4" x14ac:dyDescent="0.25">
      <c r="A57" s="2" t="s">
        <v>10</v>
      </c>
      <c r="B57" s="2" t="s">
        <v>34</v>
      </c>
      <c r="C57" s="4">
        <v>720000</v>
      </c>
      <c r="D57" s="4">
        <v>750000</v>
      </c>
    </row>
    <row r="58" spans="1:4" x14ac:dyDescent="0.25">
      <c r="A58" s="2" t="s">
        <v>17</v>
      </c>
      <c r="B58" s="2" t="s">
        <v>43</v>
      </c>
      <c r="C58" s="4">
        <v>830000</v>
      </c>
      <c r="D58" s="4">
        <v>850000</v>
      </c>
    </row>
    <row r="59" spans="1:4" x14ac:dyDescent="0.25">
      <c r="A59" s="2" t="s">
        <v>47</v>
      </c>
      <c r="B59" s="2" t="s">
        <v>43</v>
      </c>
      <c r="C59" s="4">
        <v>1000000</v>
      </c>
      <c r="D59" s="4">
        <v>850000</v>
      </c>
    </row>
    <row r="60" spans="1:4" x14ac:dyDescent="0.25">
      <c r="A60" s="2" t="s">
        <v>33</v>
      </c>
      <c r="B60" s="2" t="s">
        <v>36</v>
      </c>
      <c r="C60" s="4">
        <v>530000</v>
      </c>
      <c r="D60" s="4">
        <v>850000</v>
      </c>
    </row>
    <row r="61" spans="1:4" x14ac:dyDescent="0.25">
      <c r="A61" s="2" t="s">
        <v>8</v>
      </c>
      <c r="B61" s="2" t="s">
        <v>36</v>
      </c>
      <c r="C61" s="4">
        <v>840000</v>
      </c>
      <c r="D61" s="4">
        <v>950000</v>
      </c>
    </row>
    <row r="62" spans="1:4" x14ac:dyDescent="0.25">
      <c r="A62" s="2" t="s">
        <v>38</v>
      </c>
      <c r="B62" s="2" t="s">
        <v>27</v>
      </c>
      <c r="C62" s="4">
        <v>1290000</v>
      </c>
      <c r="D62" s="4">
        <v>1200000</v>
      </c>
    </row>
    <row r="63" spans="1:4" x14ac:dyDescent="0.25">
      <c r="A63" s="2" t="s">
        <v>4</v>
      </c>
      <c r="B63" s="2" t="s">
        <v>5</v>
      </c>
      <c r="C63" s="4">
        <v>610000</v>
      </c>
      <c r="D63" s="4">
        <v>700000</v>
      </c>
    </row>
    <row r="64" spans="1:4" x14ac:dyDescent="0.25">
      <c r="A64" s="2" t="s">
        <v>19</v>
      </c>
      <c r="B64" s="2" t="s">
        <v>5</v>
      </c>
      <c r="C64" s="4">
        <v>600000</v>
      </c>
      <c r="D64" s="4">
        <v>850000</v>
      </c>
    </row>
    <row r="65" spans="1:4" x14ac:dyDescent="0.25">
      <c r="A65" s="2" t="s">
        <v>32</v>
      </c>
      <c r="B65" s="2" t="s">
        <v>22</v>
      </c>
      <c r="C65" s="4">
        <v>710000</v>
      </c>
      <c r="D65" s="4">
        <v>800000</v>
      </c>
    </row>
    <row r="66" spans="1:4" x14ac:dyDescent="0.25">
      <c r="A66" s="2" t="s">
        <v>17</v>
      </c>
      <c r="B66" s="2" t="s">
        <v>22</v>
      </c>
      <c r="C66" s="4">
        <v>1060000</v>
      </c>
      <c r="D66" s="4">
        <v>850000</v>
      </c>
    </row>
    <row r="67" spans="1:4" x14ac:dyDescent="0.25">
      <c r="A67" s="2" t="s">
        <v>26</v>
      </c>
      <c r="B67" s="2" t="s">
        <v>22</v>
      </c>
      <c r="C67" s="4">
        <v>1610000</v>
      </c>
      <c r="D67" s="4">
        <v>1300000</v>
      </c>
    </row>
    <row r="68" spans="1:4" x14ac:dyDescent="0.25">
      <c r="A68" s="2" t="s">
        <v>32</v>
      </c>
      <c r="B68" s="2" t="s">
        <v>5</v>
      </c>
      <c r="C68" s="4">
        <v>750000</v>
      </c>
      <c r="D68" s="4">
        <v>700000</v>
      </c>
    </row>
    <row r="69" spans="1:4" x14ac:dyDescent="0.25">
      <c r="A69" s="2" t="s">
        <v>32</v>
      </c>
      <c r="B69" s="2" t="s">
        <v>11</v>
      </c>
      <c r="C69" s="4">
        <v>970000</v>
      </c>
      <c r="D69" s="4">
        <v>750000</v>
      </c>
    </row>
    <row r="70" spans="1:4" x14ac:dyDescent="0.25">
      <c r="A70" s="2" t="s">
        <v>40</v>
      </c>
      <c r="B70" s="2" t="s">
        <v>7</v>
      </c>
      <c r="C70" s="4">
        <v>700000</v>
      </c>
      <c r="D70" s="4">
        <v>800000</v>
      </c>
    </row>
    <row r="71" spans="1:4" x14ac:dyDescent="0.25">
      <c r="A71" s="2" t="s">
        <v>48</v>
      </c>
      <c r="B71" s="2" t="s">
        <v>46</v>
      </c>
      <c r="C71" s="4">
        <v>1180000</v>
      </c>
      <c r="D71" s="4">
        <v>1350000</v>
      </c>
    </row>
    <row r="72" spans="1:4" x14ac:dyDescent="0.25">
      <c r="A72" s="2" t="s">
        <v>10</v>
      </c>
      <c r="B72" s="2" t="s">
        <v>16</v>
      </c>
      <c r="C72" s="4">
        <v>550000</v>
      </c>
      <c r="D72" s="4">
        <v>1000000</v>
      </c>
    </row>
    <row r="73" spans="1:4" x14ac:dyDescent="0.25">
      <c r="A73" s="2" t="s">
        <v>35</v>
      </c>
      <c r="B73" s="2" t="s">
        <v>14</v>
      </c>
      <c r="C73" s="4">
        <v>1650000</v>
      </c>
      <c r="D73" s="4">
        <v>1400000</v>
      </c>
    </row>
    <row r="74" spans="1:4" x14ac:dyDescent="0.25">
      <c r="A74" s="2" t="s">
        <v>38</v>
      </c>
      <c r="B74" s="2" t="s">
        <v>44</v>
      </c>
      <c r="C74" s="4">
        <v>1110000</v>
      </c>
      <c r="D74" s="4">
        <v>1000000</v>
      </c>
    </row>
    <row r="75" spans="1:4" x14ac:dyDescent="0.25">
      <c r="A75" s="2" t="s">
        <v>47</v>
      </c>
      <c r="B75" s="2" t="s">
        <v>9</v>
      </c>
      <c r="C75" s="4">
        <v>1350000</v>
      </c>
      <c r="D75" s="4">
        <v>1200000</v>
      </c>
    </row>
    <row r="76" spans="1:4" x14ac:dyDescent="0.25">
      <c r="A76" s="2" t="s">
        <v>45</v>
      </c>
      <c r="B76" s="2" t="s">
        <v>46</v>
      </c>
      <c r="C76" s="4">
        <v>650000</v>
      </c>
      <c r="D76" s="4">
        <v>900000</v>
      </c>
    </row>
    <row r="77" spans="1:4" x14ac:dyDescent="0.25">
      <c r="A77" s="2" t="s">
        <v>10</v>
      </c>
      <c r="B77" s="2" t="s">
        <v>9</v>
      </c>
      <c r="C77" s="4">
        <v>800000</v>
      </c>
      <c r="D77" s="4">
        <v>700000</v>
      </c>
    </row>
    <row r="78" spans="1:4" x14ac:dyDescent="0.25">
      <c r="A78" s="2" t="s">
        <v>10</v>
      </c>
      <c r="B78" s="2" t="s">
        <v>27</v>
      </c>
      <c r="C78" s="4">
        <v>1070000</v>
      </c>
      <c r="D78" s="4">
        <v>1150000</v>
      </c>
    </row>
    <row r="79" spans="1:4" x14ac:dyDescent="0.25">
      <c r="A79" s="2" t="s">
        <v>23</v>
      </c>
      <c r="B79" s="2" t="s">
        <v>39</v>
      </c>
      <c r="C79" s="4">
        <v>480000</v>
      </c>
      <c r="D79" s="4">
        <v>800000</v>
      </c>
    </row>
    <row r="80" spans="1:4" x14ac:dyDescent="0.25">
      <c r="A80" s="2" t="s">
        <v>12</v>
      </c>
      <c r="B80" s="2" t="s">
        <v>29</v>
      </c>
      <c r="C80" s="4">
        <v>940000</v>
      </c>
      <c r="D80" s="4">
        <v>1350000</v>
      </c>
    </row>
    <row r="81" spans="1:4" x14ac:dyDescent="0.25">
      <c r="A81" s="2" t="s">
        <v>37</v>
      </c>
      <c r="B81" s="2" t="s">
        <v>29</v>
      </c>
      <c r="C81" s="4">
        <v>1490000</v>
      </c>
      <c r="D81" s="4">
        <v>1200000</v>
      </c>
    </row>
    <row r="82" spans="1:4" x14ac:dyDescent="0.25">
      <c r="A82" s="2" t="s">
        <v>35</v>
      </c>
      <c r="B82" s="2" t="s">
        <v>5</v>
      </c>
      <c r="C82" s="4">
        <v>1410000</v>
      </c>
      <c r="D82" s="4">
        <v>1400000</v>
      </c>
    </row>
    <row r="83" spans="1:4" x14ac:dyDescent="0.25">
      <c r="A83" s="2" t="s">
        <v>13</v>
      </c>
      <c r="B83" s="2" t="s">
        <v>27</v>
      </c>
      <c r="C83" s="4">
        <v>710000</v>
      </c>
      <c r="D83" s="4">
        <v>1150000</v>
      </c>
    </row>
    <row r="84" spans="1:4" x14ac:dyDescent="0.25">
      <c r="A84" s="2" t="s">
        <v>8</v>
      </c>
      <c r="B84" s="2" t="s">
        <v>39</v>
      </c>
      <c r="C84" s="4">
        <v>1230000</v>
      </c>
      <c r="D84" s="4">
        <v>950000</v>
      </c>
    </row>
    <row r="85" spans="1:4" x14ac:dyDescent="0.25">
      <c r="A85" s="2" t="s">
        <v>31</v>
      </c>
      <c r="B85" s="2" t="s">
        <v>34</v>
      </c>
      <c r="C85" s="4">
        <v>650000</v>
      </c>
      <c r="D85" s="4">
        <v>850000</v>
      </c>
    </row>
    <row r="86" spans="1:4" x14ac:dyDescent="0.25">
      <c r="A86" s="2" t="s">
        <v>45</v>
      </c>
      <c r="B86" s="2" t="s">
        <v>44</v>
      </c>
      <c r="C86" s="4">
        <v>840000</v>
      </c>
      <c r="D86" s="4">
        <v>1050000</v>
      </c>
    </row>
    <row r="87" spans="1:4" x14ac:dyDescent="0.25">
      <c r="A87" s="2" t="s">
        <v>15</v>
      </c>
      <c r="B87" s="2" t="s">
        <v>29</v>
      </c>
      <c r="C87" s="4">
        <v>640000</v>
      </c>
      <c r="D87" s="4">
        <v>700000</v>
      </c>
    </row>
    <row r="88" spans="1:4" x14ac:dyDescent="0.25">
      <c r="A88" s="2" t="s">
        <v>13</v>
      </c>
      <c r="B88" s="2" t="s">
        <v>5</v>
      </c>
      <c r="C88" s="4">
        <v>740000</v>
      </c>
      <c r="D88" s="4">
        <v>750000</v>
      </c>
    </row>
    <row r="89" spans="1:4" x14ac:dyDescent="0.25">
      <c r="A89" s="2" t="s">
        <v>12</v>
      </c>
      <c r="B89" s="2" t="s">
        <v>14</v>
      </c>
      <c r="C89" s="4">
        <v>1040000</v>
      </c>
      <c r="D89" s="4">
        <v>800000</v>
      </c>
    </row>
    <row r="90" spans="1:4" x14ac:dyDescent="0.25">
      <c r="A90" s="2" t="s">
        <v>42</v>
      </c>
      <c r="B90" s="2" t="s">
        <v>29</v>
      </c>
      <c r="C90" s="4">
        <v>1040000</v>
      </c>
      <c r="D90" s="4">
        <v>1400000</v>
      </c>
    </row>
    <row r="91" spans="1:4" x14ac:dyDescent="0.25">
      <c r="A91" s="2" t="s">
        <v>28</v>
      </c>
      <c r="B91" s="2" t="s">
        <v>16</v>
      </c>
      <c r="C91" s="4">
        <v>1280000</v>
      </c>
      <c r="D91" s="4">
        <v>1050000</v>
      </c>
    </row>
    <row r="92" spans="1:4" x14ac:dyDescent="0.25">
      <c r="A92" s="2" t="s">
        <v>49</v>
      </c>
      <c r="B92" s="2" t="s">
        <v>44</v>
      </c>
      <c r="C92" s="4">
        <v>1540000</v>
      </c>
      <c r="D92" s="4">
        <v>1150000</v>
      </c>
    </row>
    <row r="93" spans="1:4" x14ac:dyDescent="0.25">
      <c r="A93" s="2" t="s">
        <v>33</v>
      </c>
      <c r="B93" s="2" t="s">
        <v>39</v>
      </c>
      <c r="C93" s="4">
        <v>760000</v>
      </c>
      <c r="D93" s="4">
        <v>700000</v>
      </c>
    </row>
    <row r="94" spans="1:4" x14ac:dyDescent="0.25">
      <c r="A94" s="2" t="s">
        <v>32</v>
      </c>
      <c r="B94" s="2" t="s">
        <v>44</v>
      </c>
      <c r="C94" s="4">
        <v>1510000</v>
      </c>
      <c r="D94" s="4">
        <v>1400000</v>
      </c>
    </row>
    <row r="95" spans="1:4" x14ac:dyDescent="0.25">
      <c r="A95" s="2" t="s">
        <v>42</v>
      </c>
      <c r="B95" s="2" t="s">
        <v>18</v>
      </c>
      <c r="C95" s="4">
        <v>580000</v>
      </c>
      <c r="D95" s="4">
        <v>900000</v>
      </c>
    </row>
    <row r="96" spans="1:4" x14ac:dyDescent="0.25">
      <c r="A96" s="2" t="s">
        <v>30</v>
      </c>
      <c r="B96" s="2" t="s">
        <v>9</v>
      </c>
      <c r="C96" s="4">
        <v>610000</v>
      </c>
      <c r="D96" s="4">
        <v>800000</v>
      </c>
    </row>
    <row r="97" spans="1:4" x14ac:dyDescent="0.25">
      <c r="A97" s="2" t="s">
        <v>37</v>
      </c>
      <c r="B97" s="2" t="s">
        <v>46</v>
      </c>
      <c r="C97" s="4">
        <v>1030000</v>
      </c>
      <c r="D97" s="4">
        <v>1250000</v>
      </c>
    </row>
    <row r="98" spans="1:4" x14ac:dyDescent="0.25">
      <c r="A98" s="2" t="s">
        <v>8</v>
      </c>
      <c r="B98" s="2" t="s">
        <v>14</v>
      </c>
      <c r="C98" s="4">
        <v>1030000</v>
      </c>
      <c r="D98" s="4">
        <v>1100000</v>
      </c>
    </row>
    <row r="99" spans="1:4" x14ac:dyDescent="0.25">
      <c r="A99" s="2" t="s">
        <v>42</v>
      </c>
      <c r="B99" s="2" t="s">
        <v>27</v>
      </c>
      <c r="C99" s="4">
        <v>790000</v>
      </c>
      <c r="D99" s="4">
        <v>750000</v>
      </c>
    </row>
    <row r="100" spans="1:4" x14ac:dyDescent="0.25">
      <c r="A100" s="2" t="s">
        <v>25</v>
      </c>
      <c r="B100" s="2" t="s">
        <v>14</v>
      </c>
      <c r="C100" s="4">
        <v>390000</v>
      </c>
      <c r="D100" s="4">
        <v>700000</v>
      </c>
    </row>
    <row r="101" spans="1:4" x14ac:dyDescent="0.25">
      <c r="A101" s="2" t="s">
        <v>15</v>
      </c>
      <c r="B101" s="2" t="s">
        <v>18</v>
      </c>
      <c r="C101" s="4">
        <v>1600000</v>
      </c>
      <c r="D101" s="4">
        <v>1200000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27047-3C65-4430-AC8B-BDDA5C36F252}">
  <dimension ref="A1:E101"/>
  <sheetViews>
    <sheetView workbookViewId="0">
      <selection activeCell="I6" sqref="I6"/>
    </sheetView>
  </sheetViews>
  <sheetFormatPr defaultRowHeight="15" x14ac:dyDescent="0.25"/>
  <cols>
    <col min="1" max="1" width="18.42578125" bestFit="1" customWidth="1"/>
    <col min="2" max="2" width="13.5703125" bestFit="1" customWidth="1"/>
    <col min="3" max="4" width="16.140625" style="35" bestFit="1" customWidth="1"/>
    <col min="5" max="5" width="27.85546875" style="7" bestFit="1" customWidth="1"/>
  </cols>
  <sheetData>
    <row r="1" spans="1:5" x14ac:dyDescent="0.25">
      <c r="A1" s="1" t="s">
        <v>0</v>
      </c>
      <c r="B1" s="1" t="s">
        <v>1</v>
      </c>
      <c r="C1" s="33" t="s">
        <v>2</v>
      </c>
      <c r="D1" s="33" t="s">
        <v>3</v>
      </c>
      <c r="E1" s="8" t="s">
        <v>50</v>
      </c>
    </row>
    <row r="2" spans="1:5" x14ac:dyDescent="0.25">
      <c r="A2" s="2" t="s">
        <v>4</v>
      </c>
      <c r="B2" s="2" t="s">
        <v>5</v>
      </c>
      <c r="C2" s="34">
        <v>800000</v>
      </c>
      <c r="D2" s="34">
        <v>700000</v>
      </c>
      <c r="E2" s="6">
        <f>SalesData[[#This Row],[Sales]]/SalesData[[#This Row],[Target]]</f>
        <v>1.1428571428571428</v>
      </c>
    </row>
    <row r="3" spans="1:5" x14ac:dyDescent="0.25">
      <c r="A3" s="2" t="s">
        <v>6</v>
      </c>
      <c r="B3" s="2" t="s">
        <v>7</v>
      </c>
      <c r="C3" s="34">
        <v>910000</v>
      </c>
      <c r="D3" s="34">
        <v>800000</v>
      </c>
      <c r="E3" s="6">
        <f>SalesData[[#This Row],[Sales]]/SalesData[[#This Row],[Target]]</f>
        <v>1.1375</v>
      </c>
    </row>
    <row r="4" spans="1:5" x14ac:dyDescent="0.25">
      <c r="A4" s="2" t="s">
        <v>8</v>
      </c>
      <c r="B4" s="2" t="s">
        <v>9</v>
      </c>
      <c r="C4" s="34">
        <v>770000</v>
      </c>
      <c r="D4" s="34">
        <v>750000</v>
      </c>
      <c r="E4" s="6">
        <f>SalesData[[#This Row],[Sales]]/SalesData[[#This Row],[Target]]</f>
        <v>1.0266666666666666</v>
      </c>
    </row>
    <row r="5" spans="1:5" x14ac:dyDescent="0.25">
      <c r="A5" s="2" t="s">
        <v>10</v>
      </c>
      <c r="B5" s="2" t="s">
        <v>11</v>
      </c>
      <c r="C5" s="34">
        <v>540000</v>
      </c>
      <c r="D5" s="34">
        <v>750000</v>
      </c>
      <c r="E5" s="6">
        <f>SalesData[[#This Row],[Sales]]/SalesData[[#This Row],[Target]]</f>
        <v>0.72</v>
      </c>
    </row>
    <row r="6" spans="1:5" x14ac:dyDescent="0.25">
      <c r="A6" s="2" t="s">
        <v>12</v>
      </c>
      <c r="B6" s="2" t="s">
        <v>11</v>
      </c>
      <c r="C6" s="34">
        <v>780000</v>
      </c>
      <c r="D6" s="34">
        <v>1100000</v>
      </c>
      <c r="E6" s="6">
        <f>SalesData[[#This Row],[Sales]]/SalesData[[#This Row],[Target]]</f>
        <v>0.70909090909090911</v>
      </c>
    </row>
    <row r="7" spans="1:5" x14ac:dyDescent="0.25">
      <c r="A7" s="2" t="s">
        <v>4</v>
      </c>
      <c r="B7" s="2" t="s">
        <v>9</v>
      </c>
      <c r="C7" s="34">
        <v>730000</v>
      </c>
      <c r="D7" s="34">
        <v>1000000</v>
      </c>
      <c r="E7" s="6">
        <f>SalesData[[#This Row],[Sales]]/SalesData[[#This Row],[Target]]</f>
        <v>0.73</v>
      </c>
    </row>
    <row r="8" spans="1:5" x14ac:dyDescent="0.25">
      <c r="A8" s="2" t="s">
        <v>13</v>
      </c>
      <c r="B8" s="2" t="s">
        <v>14</v>
      </c>
      <c r="C8" s="34">
        <v>1620000</v>
      </c>
      <c r="D8" s="34">
        <v>1300000</v>
      </c>
      <c r="E8" s="6">
        <f>SalesData[[#This Row],[Sales]]/SalesData[[#This Row],[Target]]</f>
        <v>1.2461538461538462</v>
      </c>
    </row>
    <row r="9" spans="1:5" x14ac:dyDescent="0.25">
      <c r="A9" s="2" t="s">
        <v>15</v>
      </c>
      <c r="B9" s="2" t="s">
        <v>16</v>
      </c>
      <c r="C9" s="34">
        <v>1110000</v>
      </c>
      <c r="D9" s="34">
        <v>1250000</v>
      </c>
      <c r="E9" s="6">
        <f>SalesData[[#This Row],[Sales]]/SalesData[[#This Row],[Target]]</f>
        <v>0.88800000000000001</v>
      </c>
    </row>
    <row r="10" spans="1:5" x14ac:dyDescent="0.25">
      <c r="A10" s="2" t="s">
        <v>17</v>
      </c>
      <c r="B10" s="2" t="s">
        <v>18</v>
      </c>
      <c r="C10" s="34">
        <v>1120000</v>
      </c>
      <c r="D10" s="34">
        <v>850000</v>
      </c>
      <c r="E10" s="6">
        <f>SalesData[[#This Row],[Sales]]/SalesData[[#This Row],[Target]]</f>
        <v>1.3176470588235294</v>
      </c>
    </row>
    <row r="11" spans="1:5" x14ac:dyDescent="0.25">
      <c r="A11" s="2" t="s">
        <v>19</v>
      </c>
      <c r="B11" s="2" t="s">
        <v>5</v>
      </c>
      <c r="C11" s="34">
        <v>640000</v>
      </c>
      <c r="D11" s="34">
        <v>750000</v>
      </c>
      <c r="E11" s="6">
        <f>SalesData[[#This Row],[Sales]]/SalesData[[#This Row],[Target]]</f>
        <v>0.85333333333333339</v>
      </c>
    </row>
    <row r="12" spans="1:5" x14ac:dyDescent="0.25">
      <c r="A12" s="2" t="s">
        <v>20</v>
      </c>
      <c r="B12" s="2" t="s">
        <v>21</v>
      </c>
      <c r="C12" s="34">
        <v>880000</v>
      </c>
      <c r="D12" s="34">
        <v>1150000</v>
      </c>
      <c r="E12" s="6">
        <f>SalesData[[#This Row],[Sales]]/SalesData[[#This Row],[Target]]</f>
        <v>0.76521739130434785</v>
      </c>
    </row>
    <row r="13" spans="1:5" x14ac:dyDescent="0.25">
      <c r="A13" s="2" t="s">
        <v>10</v>
      </c>
      <c r="B13" s="2" t="s">
        <v>22</v>
      </c>
      <c r="C13" s="34">
        <v>710000</v>
      </c>
      <c r="D13" s="34">
        <v>1100000</v>
      </c>
      <c r="E13" s="6">
        <f>SalesData[[#This Row],[Sales]]/SalesData[[#This Row],[Target]]</f>
        <v>0.6454545454545455</v>
      </c>
    </row>
    <row r="14" spans="1:5" x14ac:dyDescent="0.25">
      <c r="A14" s="2" t="s">
        <v>23</v>
      </c>
      <c r="B14" s="2" t="s">
        <v>24</v>
      </c>
      <c r="C14" s="34">
        <v>740000</v>
      </c>
      <c r="D14" s="34">
        <v>750000</v>
      </c>
      <c r="E14" s="6">
        <f>SalesData[[#This Row],[Sales]]/SalesData[[#This Row],[Target]]</f>
        <v>0.98666666666666669</v>
      </c>
    </row>
    <row r="15" spans="1:5" x14ac:dyDescent="0.25">
      <c r="A15" s="2" t="s">
        <v>25</v>
      </c>
      <c r="B15" s="2" t="s">
        <v>21</v>
      </c>
      <c r="C15" s="34">
        <v>810000</v>
      </c>
      <c r="D15" s="34">
        <v>1150000</v>
      </c>
      <c r="E15" s="6">
        <f>SalesData[[#This Row],[Sales]]/SalesData[[#This Row],[Target]]</f>
        <v>0.70434782608695656</v>
      </c>
    </row>
    <row r="16" spans="1:5" x14ac:dyDescent="0.25">
      <c r="A16" s="2" t="s">
        <v>26</v>
      </c>
      <c r="B16" s="2" t="s">
        <v>27</v>
      </c>
      <c r="C16" s="34">
        <v>880000</v>
      </c>
      <c r="D16" s="34">
        <v>1200000</v>
      </c>
      <c r="E16" s="6">
        <f>SalesData[[#This Row],[Sales]]/SalesData[[#This Row],[Target]]</f>
        <v>0.73333333333333328</v>
      </c>
    </row>
    <row r="17" spans="1:5" x14ac:dyDescent="0.25">
      <c r="A17" s="2" t="s">
        <v>28</v>
      </c>
      <c r="B17" s="2" t="s">
        <v>29</v>
      </c>
      <c r="C17" s="34">
        <v>990000</v>
      </c>
      <c r="D17" s="34">
        <v>1350000</v>
      </c>
      <c r="E17" s="6">
        <f>SalesData[[#This Row],[Sales]]/SalesData[[#This Row],[Target]]</f>
        <v>0.73333333333333328</v>
      </c>
    </row>
    <row r="18" spans="1:5" x14ac:dyDescent="0.25">
      <c r="A18" s="2" t="s">
        <v>30</v>
      </c>
      <c r="B18" s="2" t="s">
        <v>24</v>
      </c>
      <c r="C18" s="34">
        <v>820000</v>
      </c>
      <c r="D18" s="34">
        <v>900000</v>
      </c>
      <c r="E18" s="6">
        <f>SalesData[[#This Row],[Sales]]/SalesData[[#This Row],[Target]]</f>
        <v>0.91111111111111109</v>
      </c>
    </row>
    <row r="19" spans="1:5" x14ac:dyDescent="0.25">
      <c r="A19" s="2" t="s">
        <v>25</v>
      </c>
      <c r="B19" s="2" t="s">
        <v>21</v>
      </c>
      <c r="C19" s="34">
        <v>680000</v>
      </c>
      <c r="D19" s="34">
        <v>800000</v>
      </c>
      <c r="E19" s="6">
        <f>SalesData[[#This Row],[Sales]]/SalesData[[#This Row],[Target]]</f>
        <v>0.85</v>
      </c>
    </row>
    <row r="20" spans="1:5" x14ac:dyDescent="0.25">
      <c r="A20" s="2" t="s">
        <v>31</v>
      </c>
      <c r="B20" s="2" t="s">
        <v>14</v>
      </c>
      <c r="C20" s="34">
        <v>1620000</v>
      </c>
      <c r="D20" s="34">
        <v>1250000</v>
      </c>
      <c r="E20" s="6">
        <f>SalesData[[#This Row],[Sales]]/SalesData[[#This Row],[Target]]</f>
        <v>1.296</v>
      </c>
    </row>
    <row r="21" spans="1:5" x14ac:dyDescent="0.25">
      <c r="A21" s="2" t="s">
        <v>4</v>
      </c>
      <c r="B21" s="2" t="s">
        <v>29</v>
      </c>
      <c r="C21" s="34">
        <v>1220000</v>
      </c>
      <c r="D21" s="34">
        <v>1150000</v>
      </c>
      <c r="E21" s="6">
        <f>SalesData[[#This Row],[Sales]]/SalesData[[#This Row],[Target]]</f>
        <v>1.0608695652173914</v>
      </c>
    </row>
    <row r="22" spans="1:5" x14ac:dyDescent="0.25">
      <c r="A22" s="2" t="s">
        <v>32</v>
      </c>
      <c r="B22" s="2" t="s">
        <v>7</v>
      </c>
      <c r="C22" s="34">
        <v>740000</v>
      </c>
      <c r="D22" s="34">
        <v>800000</v>
      </c>
      <c r="E22" s="6">
        <f>SalesData[[#This Row],[Sales]]/SalesData[[#This Row],[Target]]</f>
        <v>0.92500000000000004</v>
      </c>
    </row>
    <row r="23" spans="1:5" x14ac:dyDescent="0.25">
      <c r="A23" s="2" t="s">
        <v>17</v>
      </c>
      <c r="B23" s="2" t="s">
        <v>9</v>
      </c>
      <c r="C23" s="34">
        <v>930000</v>
      </c>
      <c r="D23" s="34">
        <v>850000</v>
      </c>
      <c r="E23" s="6">
        <f>SalesData[[#This Row],[Sales]]/SalesData[[#This Row],[Target]]</f>
        <v>1.0941176470588236</v>
      </c>
    </row>
    <row r="24" spans="1:5" x14ac:dyDescent="0.25">
      <c r="A24" s="2" t="s">
        <v>25</v>
      </c>
      <c r="B24" s="2" t="s">
        <v>27</v>
      </c>
      <c r="C24" s="34">
        <v>1030000</v>
      </c>
      <c r="D24" s="34">
        <v>850000</v>
      </c>
      <c r="E24" s="6">
        <f>SalesData[[#This Row],[Sales]]/SalesData[[#This Row],[Target]]</f>
        <v>1.2117647058823529</v>
      </c>
    </row>
    <row r="25" spans="1:5" x14ac:dyDescent="0.25">
      <c r="A25" s="2" t="s">
        <v>33</v>
      </c>
      <c r="B25" s="2" t="s">
        <v>34</v>
      </c>
      <c r="C25" s="34">
        <v>760000</v>
      </c>
      <c r="D25" s="34">
        <v>1000000</v>
      </c>
      <c r="E25" s="6">
        <f>SalesData[[#This Row],[Sales]]/SalesData[[#This Row],[Target]]</f>
        <v>0.76</v>
      </c>
    </row>
    <row r="26" spans="1:5" x14ac:dyDescent="0.25">
      <c r="A26" s="2" t="s">
        <v>31</v>
      </c>
      <c r="B26" s="2" t="s">
        <v>34</v>
      </c>
      <c r="C26" s="34">
        <v>910000</v>
      </c>
      <c r="D26" s="34">
        <v>850000</v>
      </c>
      <c r="E26" s="6">
        <f>SalesData[[#This Row],[Sales]]/SalesData[[#This Row],[Target]]</f>
        <v>1.0705882352941176</v>
      </c>
    </row>
    <row r="27" spans="1:5" x14ac:dyDescent="0.25">
      <c r="A27" s="2" t="s">
        <v>35</v>
      </c>
      <c r="B27" s="2" t="s">
        <v>22</v>
      </c>
      <c r="C27" s="34">
        <v>610000</v>
      </c>
      <c r="D27" s="34">
        <v>800000</v>
      </c>
      <c r="E27" s="6">
        <f>SalesData[[#This Row],[Sales]]/SalesData[[#This Row],[Target]]</f>
        <v>0.76249999999999996</v>
      </c>
    </row>
    <row r="28" spans="1:5" x14ac:dyDescent="0.25">
      <c r="A28" s="2" t="s">
        <v>6</v>
      </c>
      <c r="B28" s="2" t="s">
        <v>9</v>
      </c>
      <c r="C28" s="34">
        <v>840000</v>
      </c>
      <c r="D28" s="34">
        <v>1100000</v>
      </c>
      <c r="E28" s="6">
        <f>SalesData[[#This Row],[Sales]]/SalesData[[#This Row],[Target]]</f>
        <v>0.76363636363636367</v>
      </c>
    </row>
    <row r="29" spans="1:5" x14ac:dyDescent="0.25">
      <c r="A29" s="2" t="s">
        <v>13</v>
      </c>
      <c r="B29" s="2" t="s">
        <v>36</v>
      </c>
      <c r="C29" s="34">
        <v>1420000</v>
      </c>
      <c r="D29" s="34">
        <v>1400000</v>
      </c>
      <c r="E29" s="6">
        <f>SalesData[[#This Row],[Sales]]/SalesData[[#This Row],[Target]]</f>
        <v>1.0142857142857142</v>
      </c>
    </row>
    <row r="30" spans="1:5" x14ac:dyDescent="0.25">
      <c r="A30" s="2" t="s">
        <v>20</v>
      </c>
      <c r="B30" s="2" t="s">
        <v>7</v>
      </c>
      <c r="C30" s="34">
        <v>770000</v>
      </c>
      <c r="D30" s="34">
        <v>800000</v>
      </c>
      <c r="E30" s="6">
        <f>SalesData[[#This Row],[Sales]]/SalesData[[#This Row],[Target]]</f>
        <v>0.96250000000000002</v>
      </c>
    </row>
    <row r="31" spans="1:5" x14ac:dyDescent="0.25">
      <c r="A31" s="2" t="s">
        <v>26</v>
      </c>
      <c r="B31" s="2" t="s">
        <v>27</v>
      </c>
      <c r="C31" s="34">
        <v>860000</v>
      </c>
      <c r="D31" s="34">
        <v>1350000</v>
      </c>
      <c r="E31" s="6">
        <f>SalesData[[#This Row],[Sales]]/SalesData[[#This Row],[Target]]</f>
        <v>0.63703703703703707</v>
      </c>
    </row>
    <row r="32" spans="1:5" x14ac:dyDescent="0.25">
      <c r="A32" s="2" t="s">
        <v>4</v>
      </c>
      <c r="B32" s="2" t="s">
        <v>16</v>
      </c>
      <c r="C32" s="34">
        <v>1420000</v>
      </c>
      <c r="D32" s="34">
        <v>1300000</v>
      </c>
      <c r="E32" s="6">
        <f>SalesData[[#This Row],[Sales]]/SalesData[[#This Row],[Target]]</f>
        <v>1.0923076923076922</v>
      </c>
    </row>
    <row r="33" spans="1:5" x14ac:dyDescent="0.25">
      <c r="A33" s="2" t="s">
        <v>37</v>
      </c>
      <c r="B33" s="2" t="s">
        <v>29</v>
      </c>
      <c r="C33" s="34">
        <v>860000</v>
      </c>
      <c r="D33" s="34">
        <v>1000000</v>
      </c>
      <c r="E33" s="6">
        <f>SalesData[[#This Row],[Sales]]/SalesData[[#This Row],[Target]]</f>
        <v>0.86</v>
      </c>
    </row>
    <row r="34" spans="1:5" x14ac:dyDescent="0.25">
      <c r="A34" s="2" t="s">
        <v>38</v>
      </c>
      <c r="B34" s="2" t="s">
        <v>39</v>
      </c>
      <c r="C34" s="34">
        <v>1190000</v>
      </c>
      <c r="D34" s="34">
        <v>900000</v>
      </c>
      <c r="E34" s="6">
        <f>SalesData[[#This Row],[Sales]]/SalesData[[#This Row],[Target]]</f>
        <v>1.3222222222222222</v>
      </c>
    </row>
    <row r="35" spans="1:5" x14ac:dyDescent="0.25">
      <c r="A35" s="2" t="s">
        <v>40</v>
      </c>
      <c r="B35" s="2" t="s">
        <v>11</v>
      </c>
      <c r="C35" s="34">
        <v>1350000</v>
      </c>
      <c r="D35" s="34">
        <v>1200000</v>
      </c>
      <c r="E35" s="6">
        <f>SalesData[[#This Row],[Sales]]/SalesData[[#This Row],[Target]]</f>
        <v>1.125</v>
      </c>
    </row>
    <row r="36" spans="1:5" x14ac:dyDescent="0.25">
      <c r="A36" s="2" t="s">
        <v>8</v>
      </c>
      <c r="B36" s="2" t="s">
        <v>9</v>
      </c>
      <c r="C36" s="34">
        <v>990000</v>
      </c>
      <c r="D36" s="34">
        <v>1300000</v>
      </c>
      <c r="E36" s="6">
        <f>SalesData[[#This Row],[Sales]]/SalesData[[#This Row],[Target]]</f>
        <v>0.7615384615384615</v>
      </c>
    </row>
    <row r="37" spans="1:5" x14ac:dyDescent="0.25">
      <c r="A37" s="2" t="s">
        <v>4</v>
      </c>
      <c r="B37" s="2" t="s">
        <v>34</v>
      </c>
      <c r="C37" s="34">
        <v>590000</v>
      </c>
      <c r="D37" s="34">
        <v>750000</v>
      </c>
      <c r="E37" s="6">
        <f>SalesData[[#This Row],[Sales]]/SalesData[[#This Row],[Target]]</f>
        <v>0.78666666666666663</v>
      </c>
    </row>
    <row r="38" spans="1:5" x14ac:dyDescent="0.25">
      <c r="A38" s="2" t="s">
        <v>41</v>
      </c>
      <c r="B38" s="2" t="s">
        <v>22</v>
      </c>
      <c r="C38" s="34">
        <v>920000</v>
      </c>
      <c r="D38" s="34">
        <v>700000</v>
      </c>
      <c r="E38" s="6">
        <f>SalesData[[#This Row],[Sales]]/SalesData[[#This Row],[Target]]</f>
        <v>1.3142857142857143</v>
      </c>
    </row>
    <row r="39" spans="1:5" x14ac:dyDescent="0.25">
      <c r="A39" s="2" t="s">
        <v>42</v>
      </c>
      <c r="B39" s="2" t="s">
        <v>14</v>
      </c>
      <c r="C39" s="34">
        <v>1280000</v>
      </c>
      <c r="D39" s="34">
        <v>1100000</v>
      </c>
      <c r="E39" s="6">
        <f>SalesData[[#This Row],[Sales]]/SalesData[[#This Row],[Target]]</f>
        <v>1.1636363636363636</v>
      </c>
    </row>
    <row r="40" spans="1:5" x14ac:dyDescent="0.25">
      <c r="A40" s="2" t="s">
        <v>12</v>
      </c>
      <c r="B40" s="2" t="s">
        <v>5</v>
      </c>
      <c r="C40" s="34">
        <v>1420000</v>
      </c>
      <c r="D40" s="34">
        <v>1350000</v>
      </c>
      <c r="E40" s="6">
        <f>SalesData[[#This Row],[Sales]]/SalesData[[#This Row],[Target]]</f>
        <v>1.0518518518518518</v>
      </c>
    </row>
    <row r="41" spans="1:5" x14ac:dyDescent="0.25">
      <c r="A41" s="2" t="s">
        <v>25</v>
      </c>
      <c r="B41" s="2" t="s">
        <v>39</v>
      </c>
      <c r="C41" s="34">
        <v>820000</v>
      </c>
      <c r="D41" s="34">
        <v>1150000</v>
      </c>
      <c r="E41" s="6">
        <f>SalesData[[#This Row],[Sales]]/SalesData[[#This Row],[Target]]</f>
        <v>0.71304347826086956</v>
      </c>
    </row>
    <row r="42" spans="1:5" x14ac:dyDescent="0.25">
      <c r="A42" s="2" t="s">
        <v>20</v>
      </c>
      <c r="B42" s="2" t="s">
        <v>16</v>
      </c>
      <c r="C42" s="34">
        <v>1440000</v>
      </c>
      <c r="D42" s="34">
        <v>1100000</v>
      </c>
      <c r="E42" s="6">
        <f>SalesData[[#This Row],[Sales]]/SalesData[[#This Row],[Target]]</f>
        <v>1.3090909090909091</v>
      </c>
    </row>
    <row r="43" spans="1:5" x14ac:dyDescent="0.25">
      <c r="A43" s="2" t="s">
        <v>23</v>
      </c>
      <c r="B43" s="2" t="s">
        <v>39</v>
      </c>
      <c r="C43" s="34">
        <v>770000</v>
      </c>
      <c r="D43" s="34">
        <v>1400000</v>
      </c>
      <c r="E43" s="6">
        <f>SalesData[[#This Row],[Sales]]/SalesData[[#This Row],[Target]]</f>
        <v>0.55000000000000004</v>
      </c>
    </row>
    <row r="44" spans="1:5" x14ac:dyDescent="0.25">
      <c r="A44" s="2" t="s">
        <v>19</v>
      </c>
      <c r="B44" s="2" t="s">
        <v>43</v>
      </c>
      <c r="C44" s="34">
        <v>450000</v>
      </c>
      <c r="D44" s="34">
        <v>700000</v>
      </c>
      <c r="E44" s="6">
        <f>SalesData[[#This Row],[Sales]]/SalesData[[#This Row],[Target]]</f>
        <v>0.6428571428571429</v>
      </c>
    </row>
    <row r="45" spans="1:5" x14ac:dyDescent="0.25">
      <c r="A45" s="2" t="s">
        <v>20</v>
      </c>
      <c r="B45" s="2" t="s">
        <v>44</v>
      </c>
      <c r="C45" s="34">
        <v>510000</v>
      </c>
      <c r="D45" s="34">
        <v>850000</v>
      </c>
      <c r="E45" s="6">
        <f>SalesData[[#This Row],[Sales]]/SalesData[[#This Row],[Target]]</f>
        <v>0.6</v>
      </c>
    </row>
    <row r="46" spans="1:5" x14ac:dyDescent="0.25">
      <c r="A46" s="2" t="s">
        <v>42</v>
      </c>
      <c r="B46" s="2" t="s">
        <v>29</v>
      </c>
      <c r="C46" s="34">
        <v>850000</v>
      </c>
      <c r="D46" s="34">
        <v>750000</v>
      </c>
      <c r="E46" s="6">
        <f>SalesData[[#This Row],[Sales]]/SalesData[[#This Row],[Target]]</f>
        <v>1.1333333333333333</v>
      </c>
    </row>
    <row r="47" spans="1:5" x14ac:dyDescent="0.25">
      <c r="A47" s="2" t="s">
        <v>25</v>
      </c>
      <c r="B47" s="2" t="s">
        <v>29</v>
      </c>
      <c r="C47" s="34">
        <v>1270000</v>
      </c>
      <c r="D47" s="34">
        <v>1300000</v>
      </c>
      <c r="E47" s="6">
        <f>SalesData[[#This Row],[Sales]]/SalesData[[#This Row],[Target]]</f>
        <v>0.97692307692307689</v>
      </c>
    </row>
    <row r="48" spans="1:5" x14ac:dyDescent="0.25">
      <c r="A48" s="2" t="s">
        <v>45</v>
      </c>
      <c r="B48" s="2" t="s">
        <v>18</v>
      </c>
      <c r="C48" s="34">
        <v>1120000</v>
      </c>
      <c r="D48" s="34">
        <v>1200000</v>
      </c>
      <c r="E48" s="6">
        <f>SalesData[[#This Row],[Sales]]/SalesData[[#This Row],[Target]]</f>
        <v>0.93333333333333335</v>
      </c>
    </row>
    <row r="49" spans="1:5" x14ac:dyDescent="0.25">
      <c r="A49" s="2" t="s">
        <v>32</v>
      </c>
      <c r="B49" s="2" t="s">
        <v>16</v>
      </c>
      <c r="C49" s="34">
        <v>870000</v>
      </c>
      <c r="D49" s="34">
        <v>900000</v>
      </c>
      <c r="E49" s="6">
        <f>SalesData[[#This Row],[Sales]]/SalesData[[#This Row],[Target]]</f>
        <v>0.96666666666666667</v>
      </c>
    </row>
    <row r="50" spans="1:5" x14ac:dyDescent="0.25">
      <c r="A50" s="2" t="s">
        <v>37</v>
      </c>
      <c r="B50" s="2" t="s">
        <v>36</v>
      </c>
      <c r="C50" s="34">
        <v>1100000</v>
      </c>
      <c r="D50" s="34">
        <v>850000</v>
      </c>
      <c r="E50" s="6">
        <f>SalesData[[#This Row],[Sales]]/SalesData[[#This Row],[Target]]</f>
        <v>1.2941176470588236</v>
      </c>
    </row>
    <row r="51" spans="1:5" x14ac:dyDescent="0.25">
      <c r="A51" s="2" t="s">
        <v>15</v>
      </c>
      <c r="B51" s="2" t="s">
        <v>46</v>
      </c>
      <c r="C51" s="34">
        <v>1000000</v>
      </c>
      <c r="D51" s="34">
        <v>1250000</v>
      </c>
      <c r="E51" s="6">
        <f>SalesData[[#This Row],[Sales]]/SalesData[[#This Row],[Target]]</f>
        <v>0.8</v>
      </c>
    </row>
    <row r="52" spans="1:5" x14ac:dyDescent="0.25">
      <c r="A52" s="2" t="s">
        <v>8</v>
      </c>
      <c r="B52" s="2" t="s">
        <v>21</v>
      </c>
      <c r="C52" s="34">
        <v>1330000</v>
      </c>
      <c r="D52" s="34">
        <v>1050000</v>
      </c>
      <c r="E52" s="6">
        <f>SalesData[[#This Row],[Sales]]/SalesData[[#This Row],[Target]]</f>
        <v>1.2666666666666666</v>
      </c>
    </row>
    <row r="53" spans="1:5" x14ac:dyDescent="0.25">
      <c r="A53" s="2" t="s">
        <v>38</v>
      </c>
      <c r="B53" s="2" t="s">
        <v>5</v>
      </c>
      <c r="C53" s="34">
        <v>620000</v>
      </c>
      <c r="D53" s="34">
        <v>850000</v>
      </c>
      <c r="E53" s="6">
        <f>SalesData[[#This Row],[Sales]]/SalesData[[#This Row],[Target]]</f>
        <v>0.72941176470588232</v>
      </c>
    </row>
    <row r="54" spans="1:5" x14ac:dyDescent="0.25">
      <c r="A54" s="2" t="s">
        <v>19</v>
      </c>
      <c r="B54" s="2" t="s">
        <v>11</v>
      </c>
      <c r="C54" s="34">
        <v>1140000</v>
      </c>
      <c r="D54" s="34">
        <v>1150000</v>
      </c>
      <c r="E54" s="6">
        <f>SalesData[[#This Row],[Sales]]/SalesData[[#This Row],[Target]]</f>
        <v>0.99130434782608701</v>
      </c>
    </row>
    <row r="55" spans="1:5" x14ac:dyDescent="0.25">
      <c r="A55" s="2" t="s">
        <v>13</v>
      </c>
      <c r="B55" s="2" t="s">
        <v>7</v>
      </c>
      <c r="C55" s="34">
        <v>420000</v>
      </c>
      <c r="D55" s="34">
        <v>700000</v>
      </c>
      <c r="E55" s="6">
        <f>SalesData[[#This Row],[Sales]]/SalesData[[#This Row],[Target]]</f>
        <v>0.6</v>
      </c>
    </row>
    <row r="56" spans="1:5" x14ac:dyDescent="0.25">
      <c r="A56" s="2" t="s">
        <v>4</v>
      </c>
      <c r="B56" s="2" t="s">
        <v>27</v>
      </c>
      <c r="C56" s="34">
        <v>510000</v>
      </c>
      <c r="D56" s="34">
        <v>850000</v>
      </c>
      <c r="E56" s="6">
        <f>SalesData[[#This Row],[Sales]]/SalesData[[#This Row],[Target]]</f>
        <v>0.6</v>
      </c>
    </row>
    <row r="57" spans="1:5" x14ac:dyDescent="0.25">
      <c r="A57" s="2" t="s">
        <v>10</v>
      </c>
      <c r="B57" s="2" t="s">
        <v>34</v>
      </c>
      <c r="C57" s="34">
        <v>720000</v>
      </c>
      <c r="D57" s="34">
        <v>750000</v>
      </c>
      <c r="E57" s="6">
        <f>SalesData[[#This Row],[Sales]]/SalesData[[#This Row],[Target]]</f>
        <v>0.96</v>
      </c>
    </row>
    <row r="58" spans="1:5" x14ac:dyDescent="0.25">
      <c r="A58" s="2" t="s">
        <v>17</v>
      </c>
      <c r="B58" s="2" t="s">
        <v>43</v>
      </c>
      <c r="C58" s="34">
        <v>830000</v>
      </c>
      <c r="D58" s="34">
        <v>850000</v>
      </c>
      <c r="E58" s="6">
        <f>SalesData[[#This Row],[Sales]]/SalesData[[#This Row],[Target]]</f>
        <v>0.97647058823529409</v>
      </c>
    </row>
    <row r="59" spans="1:5" x14ac:dyDescent="0.25">
      <c r="A59" s="2" t="s">
        <v>47</v>
      </c>
      <c r="B59" s="2" t="s">
        <v>43</v>
      </c>
      <c r="C59" s="34">
        <v>1000000</v>
      </c>
      <c r="D59" s="34">
        <v>850000</v>
      </c>
      <c r="E59" s="6">
        <f>SalesData[[#This Row],[Sales]]/SalesData[[#This Row],[Target]]</f>
        <v>1.1764705882352942</v>
      </c>
    </row>
    <row r="60" spans="1:5" x14ac:dyDescent="0.25">
      <c r="A60" s="2" t="s">
        <v>33</v>
      </c>
      <c r="B60" s="2" t="s">
        <v>36</v>
      </c>
      <c r="C60" s="34">
        <v>530000</v>
      </c>
      <c r="D60" s="34">
        <v>850000</v>
      </c>
      <c r="E60" s="6">
        <f>SalesData[[#This Row],[Sales]]/SalesData[[#This Row],[Target]]</f>
        <v>0.62352941176470589</v>
      </c>
    </row>
    <row r="61" spans="1:5" x14ac:dyDescent="0.25">
      <c r="A61" s="2" t="s">
        <v>8</v>
      </c>
      <c r="B61" s="2" t="s">
        <v>36</v>
      </c>
      <c r="C61" s="34">
        <v>840000</v>
      </c>
      <c r="D61" s="34">
        <v>950000</v>
      </c>
      <c r="E61" s="6">
        <f>SalesData[[#This Row],[Sales]]/SalesData[[#This Row],[Target]]</f>
        <v>0.88421052631578945</v>
      </c>
    </row>
    <row r="62" spans="1:5" x14ac:dyDescent="0.25">
      <c r="A62" s="2" t="s">
        <v>38</v>
      </c>
      <c r="B62" s="2" t="s">
        <v>27</v>
      </c>
      <c r="C62" s="34">
        <v>1290000</v>
      </c>
      <c r="D62" s="34">
        <v>1200000</v>
      </c>
      <c r="E62" s="6">
        <f>SalesData[[#This Row],[Sales]]/SalesData[[#This Row],[Target]]</f>
        <v>1.075</v>
      </c>
    </row>
    <row r="63" spans="1:5" x14ac:dyDescent="0.25">
      <c r="A63" s="2" t="s">
        <v>4</v>
      </c>
      <c r="B63" s="2" t="s">
        <v>5</v>
      </c>
      <c r="C63" s="34">
        <v>610000</v>
      </c>
      <c r="D63" s="34">
        <v>700000</v>
      </c>
      <c r="E63" s="6">
        <f>SalesData[[#This Row],[Sales]]/SalesData[[#This Row],[Target]]</f>
        <v>0.87142857142857144</v>
      </c>
    </row>
    <row r="64" spans="1:5" x14ac:dyDescent="0.25">
      <c r="A64" s="2" t="s">
        <v>19</v>
      </c>
      <c r="B64" s="2" t="s">
        <v>5</v>
      </c>
      <c r="C64" s="34">
        <v>600000</v>
      </c>
      <c r="D64" s="34">
        <v>850000</v>
      </c>
      <c r="E64" s="6">
        <f>SalesData[[#This Row],[Sales]]/SalesData[[#This Row],[Target]]</f>
        <v>0.70588235294117652</v>
      </c>
    </row>
    <row r="65" spans="1:5" x14ac:dyDescent="0.25">
      <c r="A65" s="2" t="s">
        <v>32</v>
      </c>
      <c r="B65" s="2" t="s">
        <v>22</v>
      </c>
      <c r="C65" s="34">
        <v>710000</v>
      </c>
      <c r="D65" s="34">
        <v>800000</v>
      </c>
      <c r="E65" s="6">
        <f>SalesData[[#This Row],[Sales]]/SalesData[[#This Row],[Target]]</f>
        <v>0.88749999999999996</v>
      </c>
    </row>
    <row r="66" spans="1:5" x14ac:dyDescent="0.25">
      <c r="A66" s="2" t="s">
        <v>17</v>
      </c>
      <c r="B66" s="2" t="s">
        <v>22</v>
      </c>
      <c r="C66" s="34">
        <v>1060000</v>
      </c>
      <c r="D66" s="34">
        <v>850000</v>
      </c>
      <c r="E66" s="6">
        <f>SalesData[[#This Row],[Sales]]/SalesData[[#This Row],[Target]]</f>
        <v>1.2470588235294118</v>
      </c>
    </row>
    <row r="67" spans="1:5" x14ac:dyDescent="0.25">
      <c r="A67" s="2" t="s">
        <v>26</v>
      </c>
      <c r="B67" s="2" t="s">
        <v>22</v>
      </c>
      <c r="C67" s="34">
        <v>1610000</v>
      </c>
      <c r="D67" s="34">
        <v>1300000</v>
      </c>
      <c r="E67" s="6">
        <f>SalesData[[#This Row],[Sales]]/SalesData[[#This Row],[Target]]</f>
        <v>1.2384615384615385</v>
      </c>
    </row>
    <row r="68" spans="1:5" x14ac:dyDescent="0.25">
      <c r="A68" s="2" t="s">
        <v>32</v>
      </c>
      <c r="B68" s="2" t="s">
        <v>5</v>
      </c>
      <c r="C68" s="34">
        <v>750000</v>
      </c>
      <c r="D68" s="34">
        <v>700000</v>
      </c>
      <c r="E68" s="6">
        <f>SalesData[[#This Row],[Sales]]/SalesData[[#This Row],[Target]]</f>
        <v>1.0714285714285714</v>
      </c>
    </row>
    <row r="69" spans="1:5" x14ac:dyDescent="0.25">
      <c r="A69" s="2" t="s">
        <v>32</v>
      </c>
      <c r="B69" s="2" t="s">
        <v>11</v>
      </c>
      <c r="C69" s="34">
        <v>970000</v>
      </c>
      <c r="D69" s="34">
        <v>750000</v>
      </c>
      <c r="E69" s="6">
        <f>SalesData[[#This Row],[Sales]]/SalesData[[#This Row],[Target]]</f>
        <v>1.2933333333333332</v>
      </c>
    </row>
    <row r="70" spans="1:5" x14ac:dyDescent="0.25">
      <c r="A70" s="2" t="s">
        <v>40</v>
      </c>
      <c r="B70" s="2" t="s">
        <v>7</v>
      </c>
      <c r="C70" s="34">
        <v>700000</v>
      </c>
      <c r="D70" s="34">
        <v>800000</v>
      </c>
      <c r="E70" s="6">
        <f>SalesData[[#This Row],[Sales]]/SalesData[[#This Row],[Target]]</f>
        <v>0.875</v>
      </c>
    </row>
    <row r="71" spans="1:5" x14ac:dyDescent="0.25">
      <c r="A71" s="2" t="s">
        <v>48</v>
      </c>
      <c r="B71" s="2" t="s">
        <v>46</v>
      </c>
      <c r="C71" s="34">
        <v>1180000</v>
      </c>
      <c r="D71" s="34">
        <v>1350000</v>
      </c>
      <c r="E71" s="6">
        <f>SalesData[[#This Row],[Sales]]/SalesData[[#This Row],[Target]]</f>
        <v>0.87407407407407411</v>
      </c>
    </row>
    <row r="72" spans="1:5" x14ac:dyDescent="0.25">
      <c r="A72" s="2" t="s">
        <v>10</v>
      </c>
      <c r="B72" s="2" t="s">
        <v>16</v>
      </c>
      <c r="C72" s="34">
        <v>550000</v>
      </c>
      <c r="D72" s="34">
        <v>1000000</v>
      </c>
      <c r="E72" s="6">
        <f>SalesData[[#This Row],[Sales]]/SalesData[[#This Row],[Target]]</f>
        <v>0.55000000000000004</v>
      </c>
    </row>
    <row r="73" spans="1:5" x14ac:dyDescent="0.25">
      <c r="A73" s="2" t="s">
        <v>35</v>
      </c>
      <c r="B73" s="2" t="s">
        <v>14</v>
      </c>
      <c r="C73" s="34">
        <v>1650000</v>
      </c>
      <c r="D73" s="34">
        <v>1400000</v>
      </c>
      <c r="E73" s="6">
        <f>SalesData[[#This Row],[Sales]]/SalesData[[#This Row],[Target]]</f>
        <v>1.1785714285714286</v>
      </c>
    </row>
    <row r="74" spans="1:5" x14ac:dyDescent="0.25">
      <c r="A74" s="2" t="s">
        <v>38</v>
      </c>
      <c r="B74" s="2" t="s">
        <v>44</v>
      </c>
      <c r="C74" s="34">
        <v>1110000</v>
      </c>
      <c r="D74" s="34">
        <v>1000000</v>
      </c>
      <c r="E74" s="6">
        <f>SalesData[[#This Row],[Sales]]/SalesData[[#This Row],[Target]]</f>
        <v>1.1100000000000001</v>
      </c>
    </row>
    <row r="75" spans="1:5" x14ac:dyDescent="0.25">
      <c r="A75" s="2" t="s">
        <v>47</v>
      </c>
      <c r="B75" s="2" t="s">
        <v>9</v>
      </c>
      <c r="C75" s="34">
        <v>1350000</v>
      </c>
      <c r="D75" s="34">
        <v>1200000</v>
      </c>
      <c r="E75" s="6">
        <f>SalesData[[#This Row],[Sales]]/SalesData[[#This Row],[Target]]</f>
        <v>1.125</v>
      </c>
    </row>
    <row r="76" spans="1:5" x14ac:dyDescent="0.25">
      <c r="A76" s="2" t="s">
        <v>45</v>
      </c>
      <c r="B76" s="2" t="s">
        <v>46</v>
      </c>
      <c r="C76" s="34">
        <v>650000</v>
      </c>
      <c r="D76" s="34">
        <v>900000</v>
      </c>
      <c r="E76" s="6">
        <f>SalesData[[#This Row],[Sales]]/SalesData[[#This Row],[Target]]</f>
        <v>0.72222222222222221</v>
      </c>
    </row>
    <row r="77" spans="1:5" x14ac:dyDescent="0.25">
      <c r="A77" s="2" t="s">
        <v>10</v>
      </c>
      <c r="B77" s="2" t="s">
        <v>9</v>
      </c>
      <c r="C77" s="34">
        <v>800000</v>
      </c>
      <c r="D77" s="34">
        <v>700000</v>
      </c>
      <c r="E77" s="6">
        <f>SalesData[[#This Row],[Sales]]/SalesData[[#This Row],[Target]]</f>
        <v>1.1428571428571428</v>
      </c>
    </row>
    <row r="78" spans="1:5" x14ac:dyDescent="0.25">
      <c r="A78" s="2" t="s">
        <v>10</v>
      </c>
      <c r="B78" s="2" t="s">
        <v>27</v>
      </c>
      <c r="C78" s="34">
        <v>1070000</v>
      </c>
      <c r="D78" s="34">
        <v>1150000</v>
      </c>
      <c r="E78" s="6">
        <f>SalesData[[#This Row],[Sales]]/SalesData[[#This Row],[Target]]</f>
        <v>0.93043478260869561</v>
      </c>
    </row>
    <row r="79" spans="1:5" x14ac:dyDescent="0.25">
      <c r="A79" s="2" t="s">
        <v>23</v>
      </c>
      <c r="B79" s="2" t="s">
        <v>39</v>
      </c>
      <c r="C79" s="34">
        <v>480000</v>
      </c>
      <c r="D79" s="34">
        <v>800000</v>
      </c>
      <c r="E79" s="6">
        <f>SalesData[[#This Row],[Sales]]/SalesData[[#This Row],[Target]]</f>
        <v>0.6</v>
      </c>
    </row>
    <row r="80" spans="1:5" x14ac:dyDescent="0.25">
      <c r="A80" s="2" t="s">
        <v>12</v>
      </c>
      <c r="B80" s="2" t="s">
        <v>29</v>
      </c>
      <c r="C80" s="34">
        <v>940000</v>
      </c>
      <c r="D80" s="34">
        <v>1350000</v>
      </c>
      <c r="E80" s="6">
        <f>SalesData[[#This Row],[Sales]]/SalesData[[#This Row],[Target]]</f>
        <v>0.6962962962962963</v>
      </c>
    </row>
    <row r="81" spans="1:5" x14ac:dyDescent="0.25">
      <c r="A81" s="2" t="s">
        <v>37</v>
      </c>
      <c r="B81" s="2" t="s">
        <v>29</v>
      </c>
      <c r="C81" s="34">
        <v>1490000</v>
      </c>
      <c r="D81" s="34">
        <v>1200000</v>
      </c>
      <c r="E81" s="6">
        <f>SalesData[[#This Row],[Sales]]/SalesData[[#This Row],[Target]]</f>
        <v>1.2416666666666667</v>
      </c>
    </row>
    <row r="82" spans="1:5" x14ac:dyDescent="0.25">
      <c r="A82" s="2" t="s">
        <v>35</v>
      </c>
      <c r="B82" s="2" t="s">
        <v>5</v>
      </c>
      <c r="C82" s="34">
        <v>1410000</v>
      </c>
      <c r="D82" s="34">
        <v>1400000</v>
      </c>
      <c r="E82" s="6">
        <f>SalesData[[#This Row],[Sales]]/SalesData[[#This Row],[Target]]</f>
        <v>1.0071428571428571</v>
      </c>
    </row>
    <row r="83" spans="1:5" x14ac:dyDescent="0.25">
      <c r="A83" s="2" t="s">
        <v>13</v>
      </c>
      <c r="B83" s="2" t="s">
        <v>27</v>
      </c>
      <c r="C83" s="34">
        <v>710000</v>
      </c>
      <c r="D83" s="34">
        <v>1150000</v>
      </c>
      <c r="E83" s="6">
        <f>SalesData[[#This Row],[Sales]]/SalesData[[#This Row],[Target]]</f>
        <v>0.61739130434782608</v>
      </c>
    </row>
    <row r="84" spans="1:5" x14ac:dyDescent="0.25">
      <c r="A84" s="2" t="s">
        <v>8</v>
      </c>
      <c r="B84" s="2" t="s">
        <v>39</v>
      </c>
      <c r="C84" s="34">
        <v>1230000</v>
      </c>
      <c r="D84" s="34">
        <v>950000</v>
      </c>
      <c r="E84" s="6">
        <f>SalesData[[#This Row],[Sales]]/SalesData[[#This Row],[Target]]</f>
        <v>1.2947368421052632</v>
      </c>
    </row>
    <row r="85" spans="1:5" x14ac:dyDescent="0.25">
      <c r="A85" s="2" t="s">
        <v>31</v>
      </c>
      <c r="B85" s="2" t="s">
        <v>34</v>
      </c>
      <c r="C85" s="34">
        <v>650000</v>
      </c>
      <c r="D85" s="34">
        <v>850000</v>
      </c>
      <c r="E85" s="6">
        <f>SalesData[[#This Row],[Sales]]/SalesData[[#This Row],[Target]]</f>
        <v>0.76470588235294112</v>
      </c>
    </row>
    <row r="86" spans="1:5" x14ac:dyDescent="0.25">
      <c r="A86" s="2" t="s">
        <v>45</v>
      </c>
      <c r="B86" s="2" t="s">
        <v>44</v>
      </c>
      <c r="C86" s="34">
        <v>840000</v>
      </c>
      <c r="D86" s="34">
        <v>1050000</v>
      </c>
      <c r="E86" s="6">
        <f>SalesData[[#This Row],[Sales]]/SalesData[[#This Row],[Target]]</f>
        <v>0.8</v>
      </c>
    </row>
    <row r="87" spans="1:5" x14ac:dyDescent="0.25">
      <c r="A87" s="2" t="s">
        <v>15</v>
      </c>
      <c r="B87" s="2" t="s">
        <v>29</v>
      </c>
      <c r="C87" s="34">
        <v>640000</v>
      </c>
      <c r="D87" s="34">
        <v>700000</v>
      </c>
      <c r="E87" s="6">
        <f>SalesData[[#This Row],[Sales]]/SalesData[[#This Row],[Target]]</f>
        <v>0.91428571428571426</v>
      </c>
    </row>
    <row r="88" spans="1:5" x14ac:dyDescent="0.25">
      <c r="A88" s="2" t="s">
        <v>13</v>
      </c>
      <c r="B88" s="2" t="s">
        <v>5</v>
      </c>
      <c r="C88" s="34">
        <v>740000</v>
      </c>
      <c r="D88" s="34">
        <v>750000</v>
      </c>
      <c r="E88" s="6">
        <f>SalesData[[#This Row],[Sales]]/SalesData[[#This Row],[Target]]</f>
        <v>0.98666666666666669</v>
      </c>
    </row>
    <row r="89" spans="1:5" x14ac:dyDescent="0.25">
      <c r="A89" s="2" t="s">
        <v>12</v>
      </c>
      <c r="B89" s="2" t="s">
        <v>14</v>
      </c>
      <c r="C89" s="34">
        <v>1040000</v>
      </c>
      <c r="D89" s="34">
        <v>800000</v>
      </c>
      <c r="E89" s="6">
        <f>SalesData[[#This Row],[Sales]]/SalesData[[#This Row],[Target]]</f>
        <v>1.3</v>
      </c>
    </row>
    <row r="90" spans="1:5" x14ac:dyDescent="0.25">
      <c r="A90" s="2" t="s">
        <v>42</v>
      </c>
      <c r="B90" s="2" t="s">
        <v>29</v>
      </c>
      <c r="C90" s="34">
        <v>1040000</v>
      </c>
      <c r="D90" s="34">
        <v>1400000</v>
      </c>
      <c r="E90" s="6">
        <f>SalesData[[#This Row],[Sales]]/SalesData[[#This Row],[Target]]</f>
        <v>0.74285714285714288</v>
      </c>
    </row>
    <row r="91" spans="1:5" x14ac:dyDescent="0.25">
      <c r="A91" s="2" t="s">
        <v>28</v>
      </c>
      <c r="B91" s="2" t="s">
        <v>16</v>
      </c>
      <c r="C91" s="34">
        <v>1280000</v>
      </c>
      <c r="D91" s="34">
        <v>1050000</v>
      </c>
      <c r="E91" s="6">
        <f>SalesData[[#This Row],[Sales]]/SalesData[[#This Row],[Target]]</f>
        <v>1.2190476190476192</v>
      </c>
    </row>
    <row r="92" spans="1:5" x14ac:dyDescent="0.25">
      <c r="A92" s="2" t="s">
        <v>49</v>
      </c>
      <c r="B92" s="2" t="s">
        <v>44</v>
      </c>
      <c r="C92" s="34">
        <v>1540000</v>
      </c>
      <c r="D92" s="34">
        <v>1150000</v>
      </c>
      <c r="E92" s="6">
        <f>SalesData[[#This Row],[Sales]]/SalesData[[#This Row],[Target]]</f>
        <v>1.3391304347826087</v>
      </c>
    </row>
    <row r="93" spans="1:5" x14ac:dyDescent="0.25">
      <c r="A93" s="2" t="s">
        <v>33</v>
      </c>
      <c r="B93" s="2" t="s">
        <v>39</v>
      </c>
      <c r="C93" s="34">
        <v>760000</v>
      </c>
      <c r="D93" s="34">
        <v>700000</v>
      </c>
      <c r="E93" s="6">
        <f>SalesData[[#This Row],[Sales]]/SalesData[[#This Row],[Target]]</f>
        <v>1.0857142857142856</v>
      </c>
    </row>
    <row r="94" spans="1:5" x14ac:dyDescent="0.25">
      <c r="A94" s="2" t="s">
        <v>32</v>
      </c>
      <c r="B94" s="2" t="s">
        <v>44</v>
      </c>
      <c r="C94" s="34">
        <v>1510000</v>
      </c>
      <c r="D94" s="34">
        <v>1400000</v>
      </c>
      <c r="E94" s="6">
        <f>SalesData[[#This Row],[Sales]]/SalesData[[#This Row],[Target]]</f>
        <v>1.0785714285714285</v>
      </c>
    </row>
    <row r="95" spans="1:5" x14ac:dyDescent="0.25">
      <c r="A95" s="2" t="s">
        <v>42</v>
      </c>
      <c r="B95" s="2" t="s">
        <v>18</v>
      </c>
      <c r="C95" s="34">
        <v>580000</v>
      </c>
      <c r="D95" s="34">
        <v>900000</v>
      </c>
      <c r="E95" s="6">
        <f>SalesData[[#This Row],[Sales]]/SalesData[[#This Row],[Target]]</f>
        <v>0.64444444444444449</v>
      </c>
    </row>
    <row r="96" spans="1:5" x14ac:dyDescent="0.25">
      <c r="A96" s="2" t="s">
        <v>30</v>
      </c>
      <c r="B96" s="2" t="s">
        <v>9</v>
      </c>
      <c r="C96" s="34">
        <v>610000</v>
      </c>
      <c r="D96" s="34">
        <v>800000</v>
      </c>
      <c r="E96" s="6">
        <f>SalesData[[#This Row],[Sales]]/SalesData[[#This Row],[Target]]</f>
        <v>0.76249999999999996</v>
      </c>
    </row>
    <row r="97" spans="1:5" x14ac:dyDescent="0.25">
      <c r="A97" s="2" t="s">
        <v>37</v>
      </c>
      <c r="B97" s="2" t="s">
        <v>46</v>
      </c>
      <c r="C97" s="34">
        <v>1030000</v>
      </c>
      <c r="D97" s="34">
        <v>1250000</v>
      </c>
      <c r="E97" s="6">
        <f>SalesData[[#This Row],[Sales]]/SalesData[[#This Row],[Target]]</f>
        <v>0.82399999999999995</v>
      </c>
    </row>
    <row r="98" spans="1:5" x14ac:dyDescent="0.25">
      <c r="A98" s="2" t="s">
        <v>8</v>
      </c>
      <c r="B98" s="2" t="s">
        <v>14</v>
      </c>
      <c r="C98" s="34">
        <v>1030000</v>
      </c>
      <c r="D98" s="34">
        <v>1100000</v>
      </c>
      <c r="E98" s="6">
        <f>SalesData[[#This Row],[Sales]]/SalesData[[#This Row],[Target]]</f>
        <v>0.9363636363636364</v>
      </c>
    </row>
    <row r="99" spans="1:5" x14ac:dyDescent="0.25">
      <c r="A99" s="2" t="s">
        <v>42</v>
      </c>
      <c r="B99" s="2" t="s">
        <v>27</v>
      </c>
      <c r="C99" s="34">
        <v>790000</v>
      </c>
      <c r="D99" s="34">
        <v>750000</v>
      </c>
      <c r="E99" s="6">
        <f>SalesData[[#This Row],[Sales]]/SalesData[[#This Row],[Target]]</f>
        <v>1.0533333333333332</v>
      </c>
    </row>
    <row r="100" spans="1:5" x14ac:dyDescent="0.25">
      <c r="A100" s="2" t="s">
        <v>25</v>
      </c>
      <c r="B100" s="2" t="s">
        <v>14</v>
      </c>
      <c r="C100" s="34">
        <v>390000</v>
      </c>
      <c r="D100" s="34">
        <v>700000</v>
      </c>
      <c r="E100" s="6">
        <f>SalesData[[#This Row],[Sales]]/SalesData[[#This Row],[Target]]</f>
        <v>0.55714285714285716</v>
      </c>
    </row>
    <row r="101" spans="1:5" x14ac:dyDescent="0.25">
      <c r="A101" s="2" t="s">
        <v>15</v>
      </c>
      <c r="B101" s="2" t="s">
        <v>18</v>
      </c>
      <c r="C101" s="34">
        <v>1600000</v>
      </c>
      <c r="D101" s="34">
        <v>1200000</v>
      </c>
      <c r="E101" s="6">
        <f>SalesData[[#This Row],[Sales]]/SalesData[[#This Row],[Target]]</f>
        <v>1.3333333333333333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99913-07FC-4923-BD1B-0DA6AEFDF4D8}">
  <dimension ref="A1:G101"/>
  <sheetViews>
    <sheetView workbookViewId="0">
      <selection activeCell="H6" sqref="H6"/>
    </sheetView>
  </sheetViews>
  <sheetFormatPr defaultRowHeight="15" x14ac:dyDescent="0.25"/>
  <cols>
    <col min="1" max="1" width="18.42578125" bestFit="1" customWidth="1"/>
    <col min="2" max="2" width="13.5703125" bestFit="1" customWidth="1"/>
    <col min="3" max="4" width="16.140625" style="35" bestFit="1" customWidth="1"/>
    <col min="5" max="5" width="19.42578125" bestFit="1" customWidth="1"/>
    <col min="6" max="6" width="15.7109375" bestFit="1" customWidth="1"/>
  </cols>
  <sheetData>
    <row r="1" spans="1:7" x14ac:dyDescent="0.25">
      <c r="A1" s="1" t="s">
        <v>0</v>
      </c>
      <c r="B1" s="1" t="s">
        <v>1</v>
      </c>
      <c r="C1" s="33" t="s">
        <v>2</v>
      </c>
      <c r="D1" s="33" t="s">
        <v>3</v>
      </c>
      <c r="E1" s="13" t="s">
        <v>53</v>
      </c>
      <c r="G1" s="11" t="s">
        <v>52</v>
      </c>
    </row>
    <row r="2" spans="1:7" x14ac:dyDescent="0.25">
      <c r="A2" s="2" t="s">
        <v>4</v>
      </c>
      <c r="B2" s="2" t="s">
        <v>5</v>
      </c>
      <c r="C2" s="34">
        <v>800000</v>
      </c>
      <c r="D2" s="34">
        <v>700000</v>
      </c>
      <c r="E2" s="12">
        <f>Table2[[#This Row],[Sales]]*$G$2</f>
        <v>40000</v>
      </c>
      <c r="G2" s="10">
        <v>0.05</v>
      </c>
    </row>
    <row r="3" spans="1:7" x14ac:dyDescent="0.25">
      <c r="A3" s="2" t="s">
        <v>6</v>
      </c>
      <c r="B3" s="2" t="s">
        <v>7</v>
      </c>
      <c r="C3" s="34">
        <v>910000</v>
      </c>
      <c r="D3" s="34">
        <v>800000</v>
      </c>
      <c r="E3" s="12">
        <f>Table2[[#This Row],[Sales]]*$G$2</f>
        <v>45500</v>
      </c>
    </row>
    <row r="4" spans="1:7" x14ac:dyDescent="0.25">
      <c r="A4" s="2" t="s">
        <v>8</v>
      </c>
      <c r="B4" s="2" t="s">
        <v>9</v>
      </c>
      <c r="C4" s="34">
        <v>770000</v>
      </c>
      <c r="D4" s="34">
        <v>750000</v>
      </c>
      <c r="E4" s="12">
        <f>Table2[[#This Row],[Sales]]*$G$2</f>
        <v>38500</v>
      </c>
    </row>
    <row r="5" spans="1:7" x14ac:dyDescent="0.25">
      <c r="A5" s="2" t="s">
        <v>10</v>
      </c>
      <c r="B5" s="2" t="s">
        <v>11</v>
      </c>
      <c r="C5" s="34">
        <v>540000</v>
      </c>
      <c r="D5" s="34">
        <v>750000</v>
      </c>
      <c r="E5" s="12">
        <f>Table2[[#This Row],[Sales]]*$G$2</f>
        <v>27000</v>
      </c>
    </row>
    <row r="6" spans="1:7" x14ac:dyDescent="0.25">
      <c r="A6" s="2" t="s">
        <v>12</v>
      </c>
      <c r="B6" s="2" t="s">
        <v>11</v>
      </c>
      <c r="C6" s="34">
        <v>780000</v>
      </c>
      <c r="D6" s="34">
        <v>1100000</v>
      </c>
      <c r="E6" s="12">
        <f>Table2[[#This Row],[Sales]]*$G$2</f>
        <v>39000</v>
      </c>
    </row>
    <row r="7" spans="1:7" x14ac:dyDescent="0.25">
      <c r="A7" s="2" t="s">
        <v>4</v>
      </c>
      <c r="B7" s="2" t="s">
        <v>9</v>
      </c>
      <c r="C7" s="34">
        <v>730000</v>
      </c>
      <c r="D7" s="34">
        <v>1000000</v>
      </c>
      <c r="E7" s="12">
        <f>Table2[[#This Row],[Sales]]*$G$2</f>
        <v>36500</v>
      </c>
    </row>
    <row r="8" spans="1:7" x14ac:dyDescent="0.25">
      <c r="A8" s="2" t="s">
        <v>13</v>
      </c>
      <c r="B8" s="2" t="s">
        <v>14</v>
      </c>
      <c r="C8" s="34">
        <v>1620000</v>
      </c>
      <c r="D8" s="34">
        <v>1300000</v>
      </c>
      <c r="E8" s="12">
        <f>Table2[[#This Row],[Sales]]*$G$2</f>
        <v>81000</v>
      </c>
    </row>
    <row r="9" spans="1:7" x14ac:dyDescent="0.25">
      <c r="A9" s="2" t="s">
        <v>15</v>
      </c>
      <c r="B9" s="2" t="s">
        <v>16</v>
      </c>
      <c r="C9" s="34">
        <v>1110000</v>
      </c>
      <c r="D9" s="34">
        <v>1250000</v>
      </c>
      <c r="E9" s="12">
        <f>Table2[[#This Row],[Sales]]*$G$2</f>
        <v>55500</v>
      </c>
    </row>
    <row r="10" spans="1:7" x14ac:dyDescent="0.25">
      <c r="A10" s="2" t="s">
        <v>17</v>
      </c>
      <c r="B10" s="2" t="s">
        <v>18</v>
      </c>
      <c r="C10" s="34">
        <v>1120000</v>
      </c>
      <c r="D10" s="34">
        <v>850000</v>
      </c>
      <c r="E10" s="12">
        <f>Table2[[#This Row],[Sales]]*$G$2</f>
        <v>56000</v>
      </c>
    </row>
    <row r="11" spans="1:7" x14ac:dyDescent="0.25">
      <c r="A11" s="2" t="s">
        <v>19</v>
      </c>
      <c r="B11" s="2" t="s">
        <v>5</v>
      </c>
      <c r="C11" s="34">
        <v>640000</v>
      </c>
      <c r="D11" s="34">
        <v>750000</v>
      </c>
      <c r="E11" s="12">
        <f>Table2[[#This Row],[Sales]]*$G$2</f>
        <v>32000</v>
      </c>
    </row>
    <row r="12" spans="1:7" x14ac:dyDescent="0.25">
      <c r="A12" s="2" t="s">
        <v>20</v>
      </c>
      <c r="B12" s="2" t="s">
        <v>21</v>
      </c>
      <c r="C12" s="34">
        <v>880000</v>
      </c>
      <c r="D12" s="34">
        <v>1150000</v>
      </c>
      <c r="E12" s="12">
        <f>Table2[[#This Row],[Sales]]*$G$2</f>
        <v>44000</v>
      </c>
    </row>
    <row r="13" spans="1:7" x14ac:dyDescent="0.25">
      <c r="A13" s="2" t="s">
        <v>10</v>
      </c>
      <c r="B13" s="2" t="s">
        <v>22</v>
      </c>
      <c r="C13" s="34">
        <v>710000</v>
      </c>
      <c r="D13" s="34">
        <v>1100000</v>
      </c>
      <c r="E13" s="12">
        <f>Table2[[#This Row],[Sales]]*$G$2</f>
        <v>35500</v>
      </c>
    </row>
    <row r="14" spans="1:7" x14ac:dyDescent="0.25">
      <c r="A14" s="2" t="s">
        <v>23</v>
      </c>
      <c r="B14" s="2" t="s">
        <v>24</v>
      </c>
      <c r="C14" s="34">
        <v>740000</v>
      </c>
      <c r="D14" s="34">
        <v>750000</v>
      </c>
      <c r="E14" s="12">
        <f>Table2[[#This Row],[Sales]]*$G$2</f>
        <v>37000</v>
      </c>
    </row>
    <row r="15" spans="1:7" x14ac:dyDescent="0.25">
      <c r="A15" s="2" t="s">
        <v>25</v>
      </c>
      <c r="B15" s="2" t="s">
        <v>21</v>
      </c>
      <c r="C15" s="34">
        <v>810000</v>
      </c>
      <c r="D15" s="34">
        <v>1150000</v>
      </c>
      <c r="E15" s="12">
        <f>Table2[[#This Row],[Sales]]*$G$2</f>
        <v>40500</v>
      </c>
    </row>
    <row r="16" spans="1:7" x14ac:dyDescent="0.25">
      <c r="A16" s="2" t="s">
        <v>26</v>
      </c>
      <c r="B16" s="2" t="s">
        <v>27</v>
      </c>
      <c r="C16" s="34">
        <v>880000</v>
      </c>
      <c r="D16" s="34">
        <v>1200000</v>
      </c>
      <c r="E16" s="12">
        <f>Table2[[#This Row],[Sales]]*$G$2</f>
        <v>44000</v>
      </c>
    </row>
    <row r="17" spans="1:5" x14ac:dyDescent="0.25">
      <c r="A17" s="2" t="s">
        <v>28</v>
      </c>
      <c r="B17" s="2" t="s">
        <v>29</v>
      </c>
      <c r="C17" s="34">
        <v>990000</v>
      </c>
      <c r="D17" s="34">
        <v>1350000</v>
      </c>
      <c r="E17" s="12">
        <f>Table2[[#This Row],[Sales]]*$G$2</f>
        <v>49500</v>
      </c>
    </row>
    <row r="18" spans="1:5" x14ac:dyDescent="0.25">
      <c r="A18" s="2" t="s">
        <v>30</v>
      </c>
      <c r="B18" s="2" t="s">
        <v>24</v>
      </c>
      <c r="C18" s="34">
        <v>820000</v>
      </c>
      <c r="D18" s="34">
        <v>900000</v>
      </c>
      <c r="E18" s="12">
        <f>Table2[[#This Row],[Sales]]*$G$2</f>
        <v>41000</v>
      </c>
    </row>
    <row r="19" spans="1:5" x14ac:dyDescent="0.25">
      <c r="A19" s="2" t="s">
        <v>25</v>
      </c>
      <c r="B19" s="2" t="s">
        <v>21</v>
      </c>
      <c r="C19" s="34">
        <v>680000</v>
      </c>
      <c r="D19" s="34">
        <v>800000</v>
      </c>
      <c r="E19" s="12">
        <f>Table2[[#This Row],[Sales]]*$G$2</f>
        <v>34000</v>
      </c>
    </row>
    <row r="20" spans="1:5" x14ac:dyDescent="0.25">
      <c r="A20" s="2" t="s">
        <v>31</v>
      </c>
      <c r="B20" s="2" t="s">
        <v>14</v>
      </c>
      <c r="C20" s="34">
        <v>1620000</v>
      </c>
      <c r="D20" s="34">
        <v>1250000</v>
      </c>
      <c r="E20" s="12">
        <f>Table2[[#This Row],[Sales]]*$G$2</f>
        <v>81000</v>
      </c>
    </row>
    <row r="21" spans="1:5" x14ac:dyDescent="0.25">
      <c r="A21" s="2" t="s">
        <v>4</v>
      </c>
      <c r="B21" s="2" t="s">
        <v>29</v>
      </c>
      <c r="C21" s="34">
        <v>1220000</v>
      </c>
      <c r="D21" s="34">
        <v>1150000</v>
      </c>
      <c r="E21" s="12">
        <f>Table2[[#This Row],[Sales]]*$G$2</f>
        <v>61000</v>
      </c>
    </row>
    <row r="22" spans="1:5" x14ac:dyDescent="0.25">
      <c r="A22" s="2" t="s">
        <v>32</v>
      </c>
      <c r="B22" s="2" t="s">
        <v>7</v>
      </c>
      <c r="C22" s="34">
        <v>740000</v>
      </c>
      <c r="D22" s="34">
        <v>800000</v>
      </c>
      <c r="E22" s="12">
        <f>Table2[[#This Row],[Sales]]*$G$2</f>
        <v>37000</v>
      </c>
    </row>
    <row r="23" spans="1:5" x14ac:dyDescent="0.25">
      <c r="A23" s="2" t="s">
        <v>17</v>
      </c>
      <c r="B23" s="2" t="s">
        <v>9</v>
      </c>
      <c r="C23" s="34">
        <v>930000</v>
      </c>
      <c r="D23" s="34">
        <v>850000</v>
      </c>
      <c r="E23" s="12">
        <f>Table2[[#This Row],[Sales]]*$G$2</f>
        <v>46500</v>
      </c>
    </row>
    <row r="24" spans="1:5" x14ac:dyDescent="0.25">
      <c r="A24" s="2" t="s">
        <v>25</v>
      </c>
      <c r="B24" s="2" t="s">
        <v>27</v>
      </c>
      <c r="C24" s="34">
        <v>1030000</v>
      </c>
      <c r="D24" s="34">
        <v>850000</v>
      </c>
      <c r="E24" s="12">
        <f>Table2[[#This Row],[Sales]]*$G$2</f>
        <v>51500</v>
      </c>
    </row>
    <row r="25" spans="1:5" x14ac:dyDescent="0.25">
      <c r="A25" s="2" t="s">
        <v>33</v>
      </c>
      <c r="B25" s="2" t="s">
        <v>34</v>
      </c>
      <c r="C25" s="34">
        <v>760000</v>
      </c>
      <c r="D25" s="34">
        <v>1000000</v>
      </c>
      <c r="E25" s="12">
        <f>Table2[[#This Row],[Sales]]*$G$2</f>
        <v>38000</v>
      </c>
    </row>
    <row r="26" spans="1:5" x14ac:dyDescent="0.25">
      <c r="A26" s="2" t="s">
        <v>31</v>
      </c>
      <c r="B26" s="2" t="s">
        <v>34</v>
      </c>
      <c r="C26" s="34">
        <v>910000</v>
      </c>
      <c r="D26" s="34">
        <v>850000</v>
      </c>
      <c r="E26" s="12">
        <f>Table2[[#This Row],[Sales]]*$G$2</f>
        <v>45500</v>
      </c>
    </row>
    <row r="27" spans="1:5" x14ac:dyDescent="0.25">
      <c r="A27" s="2" t="s">
        <v>35</v>
      </c>
      <c r="B27" s="2" t="s">
        <v>22</v>
      </c>
      <c r="C27" s="34">
        <v>610000</v>
      </c>
      <c r="D27" s="34">
        <v>800000</v>
      </c>
      <c r="E27" s="12">
        <f>Table2[[#This Row],[Sales]]*$G$2</f>
        <v>30500</v>
      </c>
    </row>
    <row r="28" spans="1:5" x14ac:dyDescent="0.25">
      <c r="A28" s="2" t="s">
        <v>6</v>
      </c>
      <c r="B28" s="2" t="s">
        <v>9</v>
      </c>
      <c r="C28" s="34">
        <v>840000</v>
      </c>
      <c r="D28" s="34">
        <v>1100000</v>
      </c>
      <c r="E28" s="12">
        <f>Table2[[#This Row],[Sales]]*$G$2</f>
        <v>42000</v>
      </c>
    </row>
    <row r="29" spans="1:5" x14ac:dyDescent="0.25">
      <c r="A29" s="2" t="s">
        <v>13</v>
      </c>
      <c r="B29" s="2" t="s">
        <v>36</v>
      </c>
      <c r="C29" s="34">
        <v>1420000</v>
      </c>
      <c r="D29" s="34">
        <v>1400000</v>
      </c>
      <c r="E29" s="12">
        <f>Table2[[#This Row],[Sales]]*$G$2</f>
        <v>71000</v>
      </c>
    </row>
    <row r="30" spans="1:5" x14ac:dyDescent="0.25">
      <c r="A30" s="2" t="s">
        <v>20</v>
      </c>
      <c r="B30" s="2" t="s">
        <v>7</v>
      </c>
      <c r="C30" s="34">
        <v>770000</v>
      </c>
      <c r="D30" s="34">
        <v>800000</v>
      </c>
      <c r="E30" s="12">
        <f>Table2[[#This Row],[Sales]]*$G$2</f>
        <v>38500</v>
      </c>
    </row>
    <row r="31" spans="1:5" x14ac:dyDescent="0.25">
      <c r="A31" s="2" t="s">
        <v>26</v>
      </c>
      <c r="B31" s="2" t="s">
        <v>27</v>
      </c>
      <c r="C31" s="34">
        <v>860000</v>
      </c>
      <c r="D31" s="34">
        <v>1350000</v>
      </c>
      <c r="E31" s="12">
        <f>Table2[[#This Row],[Sales]]*$G$2</f>
        <v>43000</v>
      </c>
    </row>
    <row r="32" spans="1:5" x14ac:dyDescent="0.25">
      <c r="A32" s="2" t="s">
        <v>4</v>
      </c>
      <c r="B32" s="2" t="s">
        <v>16</v>
      </c>
      <c r="C32" s="34">
        <v>1420000</v>
      </c>
      <c r="D32" s="34">
        <v>1300000</v>
      </c>
      <c r="E32" s="12">
        <f>Table2[[#This Row],[Sales]]*$G$2</f>
        <v>71000</v>
      </c>
    </row>
    <row r="33" spans="1:5" x14ac:dyDescent="0.25">
      <c r="A33" s="2" t="s">
        <v>37</v>
      </c>
      <c r="B33" s="2" t="s">
        <v>29</v>
      </c>
      <c r="C33" s="34">
        <v>860000</v>
      </c>
      <c r="D33" s="34">
        <v>1000000</v>
      </c>
      <c r="E33" s="12">
        <f>Table2[[#This Row],[Sales]]*$G$2</f>
        <v>43000</v>
      </c>
    </row>
    <row r="34" spans="1:5" x14ac:dyDescent="0.25">
      <c r="A34" s="2" t="s">
        <v>38</v>
      </c>
      <c r="B34" s="2" t="s">
        <v>39</v>
      </c>
      <c r="C34" s="34">
        <v>1190000</v>
      </c>
      <c r="D34" s="34">
        <v>900000</v>
      </c>
      <c r="E34" s="12">
        <f>Table2[[#This Row],[Sales]]*$G$2</f>
        <v>59500</v>
      </c>
    </row>
    <row r="35" spans="1:5" x14ac:dyDescent="0.25">
      <c r="A35" s="2" t="s">
        <v>40</v>
      </c>
      <c r="B35" s="2" t="s">
        <v>11</v>
      </c>
      <c r="C35" s="34">
        <v>1350000</v>
      </c>
      <c r="D35" s="34">
        <v>1200000</v>
      </c>
      <c r="E35" s="12">
        <f>Table2[[#This Row],[Sales]]*$G$2</f>
        <v>67500</v>
      </c>
    </row>
    <row r="36" spans="1:5" x14ac:dyDescent="0.25">
      <c r="A36" s="2" t="s">
        <v>8</v>
      </c>
      <c r="B36" s="2" t="s">
        <v>9</v>
      </c>
      <c r="C36" s="34">
        <v>990000</v>
      </c>
      <c r="D36" s="34">
        <v>1300000</v>
      </c>
      <c r="E36" s="12">
        <f>Table2[[#This Row],[Sales]]*$G$2</f>
        <v>49500</v>
      </c>
    </row>
    <row r="37" spans="1:5" x14ac:dyDescent="0.25">
      <c r="A37" s="2" t="s">
        <v>4</v>
      </c>
      <c r="B37" s="2" t="s">
        <v>34</v>
      </c>
      <c r="C37" s="34">
        <v>590000</v>
      </c>
      <c r="D37" s="34">
        <v>750000</v>
      </c>
      <c r="E37" s="12">
        <f>Table2[[#This Row],[Sales]]*$G$2</f>
        <v>29500</v>
      </c>
    </row>
    <row r="38" spans="1:5" x14ac:dyDescent="0.25">
      <c r="A38" s="2" t="s">
        <v>41</v>
      </c>
      <c r="B38" s="2" t="s">
        <v>22</v>
      </c>
      <c r="C38" s="34">
        <v>920000</v>
      </c>
      <c r="D38" s="34">
        <v>700000</v>
      </c>
      <c r="E38" s="12">
        <f>Table2[[#This Row],[Sales]]*$G$2</f>
        <v>46000</v>
      </c>
    </row>
    <row r="39" spans="1:5" x14ac:dyDescent="0.25">
      <c r="A39" s="2" t="s">
        <v>42</v>
      </c>
      <c r="B39" s="2" t="s">
        <v>14</v>
      </c>
      <c r="C39" s="34">
        <v>1280000</v>
      </c>
      <c r="D39" s="34">
        <v>1100000</v>
      </c>
      <c r="E39" s="12">
        <f>Table2[[#This Row],[Sales]]*$G$2</f>
        <v>64000</v>
      </c>
    </row>
    <row r="40" spans="1:5" x14ac:dyDescent="0.25">
      <c r="A40" s="2" t="s">
        <v>12</v>
      </c>
      <c r="B40" s="2" t="s">
        <v>5</v>
      </c>
      <c r="C40" s="34">
        <v>1420000</v>
      </c>
      <c r="D40" s="34">
        <v>1350000</v>
      </c>
      <c r="E40" s="12">
        <f>Table2[[#This Row],[Sales]]*$G$2</f>
        <v>71000</v>
      </c>
    </row>
    <row r="41" spans="1:5" x14ac:dyDescent="0.25">
      <c r="A41" s="2" t="s">
        <v>25</v>
      </c>
      <c r="B41" s="2" t="s">
        <v>39</v>
      </c>
      <c r="C41" s="34">
        <v>820000</v>
      </c>
      <c r="D41" s="34">
        <v>1150000</v>
      </c>
      <c r="E41" s="12">
        <f>Table2[[#This Row],[Sales]]*$G$2</f>
        <v>41000</v>
      </c>
    </row>
    <row r="42" spans="1:5" x14ac:dyDescent="0.25">
      <c r="A42" s="2" t="s">
        <v>20</v>
      </c>
      <c r="B42" s="2" t="s">
        <v>16</v>
      </c>
      <c r="C42" s="34">
        <v>1440000</v>
      </c>
      <c r="D42" s="34">
        <v>1100000</v>
      </c>
      <c r="E42" s="12">
        <f>Table2[[#This Row],[Sales]]*$G$2</f>
        <v>72000</v>
      </c>
    </row>
    <row r="43" spans="1:5" x14ac:dyDescent="0.25">
      <c r="A43" s="2" t="s">
        <v>23</v>
      </c>
      <c r="B43" s="2" t="s">
        <v>39</v>
      </c>
      <c r="C43" s="34">
        <v>770000</v>
      </c>
      <c r="D43" s="34">
        <v>1400000</v>
      </c>
      <c r="E43" s="12">
        <f>Table2[[#This Row],[Sales]]*$G$2</f>
        <v>38500</v>
      </c>
    </row>
    <row r="44" spans="1:5" x14ac:dyDescent="0.25">
      <c r="A44" s="2" t="s">
        <v>19</v>
      </c>
      <c r="B44" s="2" t="s">
        <v>43</v>
      </c>
      <c r="C44" s="34">
        <v>450000</v>
      </c>
      <c r="D44" s="34">
        <v>700000</v>
      </c>
      <c r="E44" s="12">
        <f>Table2[[#This Row],[Sales]]*$G$2</f>
        <v>22500</v>
      </c>
    </row>
    <row r="45" spans="1:5" x14ac:dyDescent="0.25">
      <c r="A45" s="2" t="s">
        <v>20</v>
      </c>
      <c r="B45" s="2" t="s">
        <v>44</v>
      </c>
      <c r="C45" s="34">
        <v>510000</v>
      </c>
      <c r="D45" s="34">
        <v>850000</v>
      </c>
      <c r="E45" s="12">
        <f>Table2[[#This Row],[Sales]]*$G$2</f>
        <v>25500</v>
      </c>
    </row>
    <row r="46" spans="1:5" x14ac:dyDescent="0.25">
      <c r="A46" s="2" t="s">
        <v>42</v>
      </c>
      <c r="B46" s="2" t="s">
        <v>29</v>
      </c>
      <c r="C46" s="34">
        <v>850000</v>
      </c>
      <c r="D46" s="34">
        <v>750000</v>
      </c>
      <c r="E46" s="12">
        <f>Table2[[#This Row],[Sales]]*$G$2</f>
        <v>42500</v>
      </c>
    </row>
    <row r="47" spans="1:5" x14ac:dyDescent="0.25">
      <c r="A47" s="2" t="s">
        <v>25</v>
      </c>
      <c r="B47" s="2" t="s">
        <v>29</v>
      </c>
      <c r="C47" s="34">
        <v>1270000</v>
      </c>
      <c r="D47" s="34">
        <v>1300000</v>
      </c>
      <c r="E47" s="12">
        <f>Table2[[#This Row],[Sales]]*$G$2</f>
        <v>63500</v>
      </c>
    </row>
    <row r="48" spans="1:5" x14ac:dyDescent="0.25">
      <c r="A48" s="2" t="s">
        <v>45</v>
      </c>
      <c r="B48" s="2" t="s">
        <v>18</v>
      </c>
      <c r="C48" s="34">
        <v>1120000</v>
      </c>
      <c r="D48" s="34">
        <v>1200000</v>
      </c>
      <c r="E48" s="12">
        <f>Table2[[#This Row],[Sales]]*$G$2</f>
        <v>56000</v>
      </c>
    </row>
    <row r="49" spans="1:5" x14ac:dyDescent="0.25">
      <c r="A49" s="2" t="s">
        <v>32</v>
      </c>
      <c r="B49" s="2" t="s">
        <v>16</v>
      </c>
      <c r="C49" s="34">
        <v>870000</v>
      </c>
      <c r="D49" s="34">
        <v>900000</v>
      </c>
      <c r="E49" s="12">
        <f>Table2[[#This Row],[Sales]]*$G$2</f>
        <v>43500</v>
      </c>
    </row>
    <row r="50" spans="1:5" x14ac:dyDescent="0.25">
      <c r="A50" s="2" t="s">
        <v>37</v>
      </c>
      <c r="B50" s="2" t="s">
        <v>36</v>
      </c>
      <c r="C50" s="34">
        <v>1100000</v>
      </c>
      <c r="D50" s="34">
        <v>850000</v>
      </c>
      <c r="E50" s="12">
        <f>Table2[[#This Row],[Sales]]*$G$2</f>
        <v>55000</v>
      </c>
    </row>
    <row r="51" spans="1:5" x14ac:dyDescent="0.25">
      <c r="A51" s="2" t="s">
        <v>15</v>
      </c>
      <c r="B51" s="2" t="s">
        <v>46</v>
      </c>
      <c r="C51" s="34">
        <v>1000000</v>
      </c>
      <c r="D51" s="34">
        <v>1250000</v>
      </c>
      <c r="E51" s="12">
        <f>Table2[[#This Row],[Sales]]*$G$2</f>
        <v>50000</v>
      </c>
    </row>
    <row r="52" spans="1:5" x14ac:dyDescent="0.25">
      <c r="A52" s="2" t="s">
        <v>8</v>
      </c>
      <c r="B52" s="2" t="s">
        <v>21</v>
      </c>
      <c r="C52" s="34">
        <v>1330000</v>
      </c>
      <c r="D52" s="34">
        <v>1050000</v>
      </c>
      <c r="E52" s="12">
        <f>Table2[[#This Row],[Sales]]*$G$2</f>
        <v>66500</v>
      </c>
    </row>
    <row r="53" spans="1:5" x14ac:dyDescent="0.25">
      <c r="A53" s="2" t="s">
        <v>38</v>
      </c>
      <c r="B53" s="2" t="s">
        <v>5</v>
      </c>
      <c r="C53" s="34">
        <v>620000</v>
      </c>
      <c r="D53" s="34">
        <v>850000</v>
      </c>
      <c r="E53" s="12">
        <f>Table2[[#This Row],[Sales]]*$G$2</f>
        <v>31000</v>
      </c>
    </row>
    <row r="54" spans="1:5" x14ac:dyDescent="0.25">
      <c r="A54" s="2" t="s">
        <v>19</v>
      </c>
      <c r="B54" s="2" t="s">
        <v>11</v>
      </c>
      <c r="C54" s="34">
        <v>1140000</v>
      </c>
      <c r="D54" s="34">
        <v>1150000</v>
      </c>
      <c r="E54" s="12">
        <f>Table2[[#This Row],[Sales]]*$G$2</f>
        <v>57000</v>
      </c>
    </row>
    <row r="55" spans="1:5" x14ac:dyDescent="0.25">
      <c r="A55" s="2" t="s">
        <v>13</v>
      </c>
      <c r="B55" s="2" t="s">
        <v>7</v>
      </c>
      <c r="C55" s="34">
        <v>420000</v>
      </c>
      <c r="D55" s="34">
        <v>700000</v>
      </c>
      <c r="E55" s="12">
        <f>Table2[[#This Row],[Sales]]*$G$2</f>
        <v>21000</v>
      </c>
    </row>
    <row r="56" spans="1:5" x14ac:dyDescent="0.25">
      <c r="A56" s="2" t="s">
        <v>4</v>
      </c>
      <c r="B56" s="2" t="s">
        <v>27</v>
      </c>
      <c r="C56" s="34">
        <v>510000</v>
      </c>
      <c r="D56" s="34">
        <v>850000</v>
      </c>
      <c r="E56" s="12">
        <f>Table2[[#This Row],[Sales]]*$G$2</f>
        <v>25500</v>
      </c>
    </row>
    <row r="57" spans="1:5" x14ac:dyDescent="0.25">
      <c r="A57" s="2" t="s">
        <v>10</v>
      </c>
      <c r="B57" s="2" t="s">
        <v>34</v>
      </c>
      <c r="C57" s="34">
        <v>720000</v>
      </c>
      <c r="D57" s="34">
        <v>750000</v>
      </c>
      <c r="E57" s="12">
        <f>Table2[[#This Row],[Sales]]*$G$2</f>
        <v>36000</v>
      </c>
    </row>
    <row r="58" spans="1:5" x14ac:dyDescent="0.25">
      <c r="A58" s="2" t="s">
        <v>17</v>
      </c>
      <c r="B58" s="2" t="s">
        <v>43</v>
      </c>
      <c r="C58" s="34">
        <v>830000</v>
      </c>
      <c r="D58" s="34">
        <v>850000</v>
      </c>
      <c r="E58" s="12">
        <f>Table2[[#This Row],[Sales]]*$G$2</f>
        <v>41500</v>
      </c>
    </row>
    <row r="59" spans="1:5" x14ac:dyDescent="0.25">
      <c r="A59" s="2" t="s">
        <v>47</v>
      </c>
      <c r="B59" s="2" t="s">
        <v>43</v>
      </c>
      <c r="C59" s="34">
        <v>1000000</v>
      </c>
      <c r="D59" s="34">
        <v>850000</v>
      </c>
      <c r="E59" s="12">
        <f>Table2[[#This Row],[Sales]]*$G$2</f>
        <v>50000</v>
      </c>
    </row>
    <row r="60" spans="1:5" x14ac:dyDescent="0.25">
      <c r="A60" s="2" t="s">
        <v>33</v>
      </c>
      <c r="B60" s="2" t="s">
        <v>36</v>
      </c>
      <c r="C60" s="34">
        <v>530000</v>
      </c>
      <c r="D60" s="34">
        <v>850000</v>
      </c>
      <c r="E60" s="12">
        <f>Table2[[#This Row],[Sales]]*$G$2</f>
        <v>26500</v>
      </c>
    </row>
    <row r="61" spans="1:5" x14ac:dyDescent="0.25">
      <c r="A61" s="2" t="s">
        <v>8</v>
      </c>
      <c r="B61" s="2" t="s">
        <v>36</v>
      </c>
      <c r="C61" s="34">
        <v>840000</v>
      </c>
      <c r="D61" s="34">
        <v>950000</v>
      </c>
      <c r="E61" s="12">
        <f>Table2[[#This Row],[Sales]]*$G$2</f>
        <v>42000</v>
      </c>
    </row>
    <row r="62" spans="1:5" x14ac:dyDescent="0.25">
      <c r="A62" s="2" t="s">
        <v>38</v>
      </c>
      <c r="B62" s="2" t="s">
        <v>27</v>
      </c>
      <c r="C62" s="34">
        <v>1290000</v>
      </c>
      <c r="D62" s="34">
        <v>1200000</v>
      </c>
      <c r="E62" s="12">
        <f>Table2[[#This Row],[Sales]]*$G$2</f>
        <v>64500</v>
      </c>
    </row>
    <row r="63" spans="1:5" x14ac:dyDescent="0.25">
      <c r="A63" s="2" t="s">
        <v>4</v>
      </c>
      <c r="B63" s="2" t="s">
        <v>5</v>
      </c>
      <c r="C63" s="34">
        <v>610000</v>
      </c>
      <c r="D63" s="34">
        <v>700000</v>
      </c>
      <c r="E63" s="12">
        <f>Table2[[#This Row],[Sales]]*$G$2</f>
        <v>30500</v>
      </c>
    </row>
    <row r="64" spans="1:5" x14ac:dyDescent="0.25">
      <c r="A64" s="2" t="s">
        <v>19</v>
      </c>
      <c r="B64" s="2" t="s">
        <v>5</v>
      </c>
      <c r="C64" s="34">
        <v>600000</v>
      </c>
      <c r="D64" s="34">
        <v>850000</v>
      </c>
      <c r="E64" s="12">
        <f>Table2[[#This Row],[Sales]]*$G$2</f>
        <v>30000</v>
      </c>
    </row>
    <row r="65" spans="1:5" x14ac:dyDescent="0.25">
      <c r="A65" s="2" t="s">
        <v>32</v>
      </c>
      <c r="B65" s="2" t="s">
        <v>22</v>
      </c>
      <c r="C65" s="34">
        <v>710000</v>
      </c>
      <c r="D65" s="34">
        <v>800000</v>
      </c>
      <c r="E65" s="12">
        <f>Table2[[#This Row],[Sales]]*$G$2</f>
        <v>35500</v>
      </c>
    </row>
    <row r="66" spans="1:5" x14ac:dyDescent="0.25">
      <c r="A66" s="2" t="s">
        <v>17</v>
      </c>
      <c r="B66" s="2" t="s">
        <v>22</v>
      </c>
      <c r="C66" s="34">
        <v>1060000</v>
      </c>
      <c r="D66" s="34">
        <v>850000</v>
      </c>
      <c r="E66" s="12">
        <f>Table2[[#This Row],[Sales]]*$G$2</f>
        <v>53000</v>
      </c>
    </row>
    <row r="67" spans="1:5" x14ac:dyDescent="0.25">
      <c r="A67" s="2" t="s">
        <v>26</v>
      </c>
      <c r="B67" s="2" t="s">
        <v>22</v>
      </c>
      <c r="C67" s="34">
        <v>1610000</v>
      </c>
      <c r="D67" s="34">
        <v>1300000</v>
      </c>
      <c r="E67" s="12">
        <f>Table2[[#This Row],[Sales]]*$G$2</f>
        <v>80500</v>
      </c>
    </row>
    <row r="68" spans="1:5" x14ac:dyDescent="0.25">
      <c r="A68" s="2" t="s">
        <v>32</v>
      </c>
      <c r="B68" s="2" t="s">
        <v>5</v>
      </c>
      <c r="C68" s="34">
        <v>750000</v>
      </c>
      <c r="D68" s="34">
        <v>700000</v>
      </c>
      <c r="E68" s="12">
        <f>Table2[[#This Row],[Sales]]*$G$2</f>
        <v>37500</v>
      </c>
    </row>
    <row r="69" spans="1:5" x14ac:dyDescent="0.25">
      <c r="A69" s="2" t="s">
        <v>32</v>
      </c>
      <c r="B69" s="2" t="s">
        <v>11</v>
      </c>
      <c r="C69" s="34">
        <v>970000</v>
      </c>
      <c r="D69" s="34">
        <v>750000</v>
      </c>
      <c r="E69" s="12">
        <f>Table2[[#This Row],[Sales]]*$G$2</f>
        <v>48500</v>
      </c>
    </row>
    <row r="70" spans="1:5" x14ac:dyDescent="0.25">
      <c r="A70" s="2" t="s">
        <v>40</v>
      </c>
      <c r="B70" s="2" t="s">
        <v>7</v>
      </c>
      <c r="C70" s="34">
        <v>700000</v>
      </c>
      <c r="D70" s="34">
        <v>800000</v>
      </c>
      <c r="E70" s="12">
        <f>Table2[[#This Row],[Sales]]*$G$2</f>
        <v>35000</v>
      </c>
    </row>
    <row r="71" spans="1:5" x14ac:dyDescent="0.25">
      <c r="A71" s="2" t="s">
        <v>48</v>
      </c>
      <c r="B71" s="2" t="s">
        <v>46</v>
      </c>
      <c r="C71" s="34">
        <v>1180000</v>
      </c>
      <c r="D71" s="34">
        <v>1350000</v>
      </c>
      <c r="E71" s="12">
        <f>Table2[[#This Row],[Sales]]*$G$2</f>
        <v>59000</v>
      </c>
    </row>
    <row r="72" spans="1:5" x14ac:dyDescent="0.25">
      <c r="A72" s="2" t="s">
        <v>10</v>
      </c>
      <c r="B72" s="2" t="s">
        <v>16</v>
      </c>
      <c r="C72" s="34">
        <v>550000</v>
      </c>
      <c r="D72" s="34">
        <v>1000000</v>
      </c>
      <c r="E72" s="12">
        <f>Table2[[#This Row],[Sales]]*$G$2</f>
        <v>27500</v>
      </c>
    </row>
    <row r="73" spans="1:5" x14ac:dyDescent="0.25">
      <c r="A73" s="2" t="s">
        <v>35</v>
      </c>
      <c r="B73" s="2" t="s">
        <v>14</v>
      </c>
      <c r="C73" s="34">
        <v>1650000</v>
      </c>
      <c r="D73" s="34">
        <v>1400000</v>
      </c>
      <c r="E73" s="12">
        <f>Table2[[#This Row],[Sales]]*$G$2</f>
        <v>82500</v>
      </c>
    </row>
    <row r="74" spans="1:5" x14ac:dyDescent="0.25">
      <c r="A74" s="2" t="s">
        <v>38</v>
      </c>
      <c r="B74" s="2" t="s">
        <v>44</v>
      </c>
      <c r="C74" s="34">
        <v>1110000</v>
      </c>
      <c r="D74" s="34">
        <v>1000000</v>
      </c>
      <c r="E74" s="12">
        <f>Table2[[#This Row],[Sales]]*$G$2</f>
        <v>55500</v>
      </c>
    </row>
    <row r="75" spans="1:5" x14ac:dyDescent="0.25">
      <c r="A75" s="2" t="s">
        <v>47</v>
      </c>
      <c r="B75" s="2" t="s">
        <v>9</v>
      </c>
      <c r="C75" s="34">
        <v>1350000</v>
      </c>
      <c r="D75" s="34">
        <v>1200000</v>
      </c>
      <c r="E75" s="12">
        <f>Table2[[#This Row],[Sales]]*$G$2</f>
        <v>67500</v>
      </c>
    </row>
    <row r="76" spans="1:5" x14ac:dyDescent="0.25">
      <c r="A76" s="2" t="s">
        <v>45</v>
      </c>
      <c r="B76" s="2" t="s">
        <v>46</v>
      </c>
      <c r="C76" s="34">
        <v>650000</v>
      </c>
      <c r="D76" s="34">
        <v>900000</v>
      </c>
      <c r="E76" s="12">
        <f>Table2[[#This Row],[Sales]]*$G$2</f>
        <v>32500</v>
      </c>
    </row>
    <row r="77" spans="1:5" x14ac:dyDescent="0.25">
      <c r="A77" s="2" t="s">
        <v>10</v>
      </c>
      <c r="B77" s="2" t="s">
        <v>9</v>
      </c>
      <c r="C77" s="34">
        <v>800000</v>
      </c>
      <c r="D77" s="34">
        <v>700000</v>
      </c>
      <c r="E77" s="12">
        <f>Table2[[#This Row],[Sales]]*$G$2</f>
        <v>40000</v>
      </c>
    </row>
    <row r="78" spans="1:5" x14ac:dyDescent="0.25">
      <c r="A78" s="2" t="s">
        <v>10</v>
      </c>
      <c r="B78" s="2" t="s">
        <v>27</v>
      </c>
      <c r="C78" s="34">
        <v>1070000</v>
      </c>
      <c r="D78" s="34">
        <v>1150000</v>
      </c>
      <c r="E78" s="12">
        <f>Table2[[#This Row],[Sales]]*$G$2</f>
        <v>53500</v>
      </c>
    </row>
    <row r="79" spans="1:5" x14ac:dyDescent="0.25">
      <c r="A79" s="2" t="s">
        <v>23</v>
      </c>
      <c r="B79" s="2" t="s">
        <v>39</v>
      </c>
      <c r="C79" s="34">
        <v>480000</v>
      </c>
      <c r="D79" s="34">
        <v>800000</v>
      </c>
      <c r="E79" s="12">
        <f>Table2[[#This Row],[Sales]]*$G$2</f>
        <v>24000</v>
      </c>
    </row>
    <row r="80" spans="1:5" x14ac:dyDescent="0.25">
      <c r="A80" s="2" t="s">
        <v>12</v>
      </c>
      <c r="B80" s="2" t="s">
        <v>29</v>
      </c>
      <c r="C80" s="34">
        <v>940000</v>
      </c>
      <c r="D80" s="34">
        <v>1350000</v>
      </c>
      <c r="E80" s="12">
        <f>Table2[[#This Row],[Sales]]*$G$2</f>
        <v>47000</v>
      </c>
    </row>
    <row r="81" spans="1:5" x14ac:dyDescent="0.25">
      <c r="A81" s="2" t="s">
        <v>37</v>
      </c>
      <c r="B81" s="2" t="s">
        <v>29</v>
      </c>
      <c r="C81" s="34">
        <v>1490000</v>
      </c>
      <c r="D81" s="34">
        <v>1200000</v>
      </c>
      <c r="E81" s="12">
        <f>Table2[[#This Row],[Sales]]*$G$2</f>
        <v>74500</v>
      </c>
    </row>
    <row r="82" spans="1:5" x14ac:dyDescent="0.25">
      <c r="A82" s="2" t="s">
        <v>35</v>
      </c>
      <c r="B82" s="2" t="s">
        <v>5</v>
      </c>
      <c r="C82" s="34">
        <v>1410000</v>
      </c>
      <c r="D82" s="34">
        <v>1400000</v>
      </c>
      <c r="E82" s="12">
        <f>Table2[[#This Row],[Sales]]*$G$2</f>
        <v>70500</v>
      </c>
    </row>
    <row r="83" spans="1:5" x14ac:dyDescent="0.25">
      <c r="A83" s="2" t="s">
        <v>13</v>
      </c>
      <c r="B83" s="2" t="s">
        <v>27</v>
      </c>
      <c r="C83" s="34">
        <v>710000</v>
      </c>
      <c r="D83" s="34">
        <v>1150000</v>
      </c>
      <c r="E83" s="12">
        <f>Table2[[#This Row],[Sales]]*$G$2</f>
        <v>35500</v>
      </c>
    </row>
    <row r="84" spans="1:5" x14ac:dyDescent="0.25">
      <c r="A84" s="2" t="s">
        <v>8</v>
      </c>
      <c r="B84" s="2" t="s">
        <v>39</v>
      </c>
      <c r="C84" s="34">
        <v>1230000</v>
      </c>
      <c r="D84" s="34">
        <v>950000</v>
      </c>
      <c r="E84" s="12">
        <f>Table2[[#This Row],[Sales]]*$G$2</f>
        <v>61500</v>
      </c>
    </row>
    <row r="85" spans="1:5" x14ac:dyDescent="0.25">
      <c r="A85" s="2" t="s">
        <v>31</v>
      </c>
      <c r="B85" s="2" t="s">
        <v>34</v>
      </c>
      <c r="C85" s="34">
        <v>650000</v>
      </c>
      <c r="D85" s="34">
        <v>850000</v>
      </c>
      <c r="E85" s="12">
        <f>Table2[[#This Row],[Sales]]*$G$2</f>
        <v>32500</v>
      </c>
    </row>
    <row r="86" spans="1:5" x14ac:dyDescent="0.25">
      <c r="A86" s="2" t="s">
        <v>45</v>
      </c>
      <c r="B86" s="2" t="s">
        <v>44</v>
      </c>
      <c r="C86" s="34">
        <v>840000</v>
      </c>
      <c r="D86" s="34">
        <v>1050000</v>
      </c>
      <c r="E86" s="12">
        <f>Table2[[#This Row],[Sales]]*$G$2</f>
        <v>42000</v>
      </c>
    </row>
    <row r="87" spans="1:5" x14ac:dyDescent="0.25">
      <c r="A87" s="2" t="s">
        <v>15</v>
      </c>
      <c r="B87" s="2" t="s">
        <v>29</v>
      </c>
      <c r="C87" s="34">
        <v>640000</v>
      </c>
      <c r="D87" s="34">
        <v>700000</v>
      </c>
      <c r="E87" s="12">
        <f>Table2[[#This Row],[Sales]]*$G$2</f>
        <v>32000</v>
      </c>
    </row>
    <row r="88" spans="1:5" x14ac:dyDescent="0.25">
      <c r="A88" s="2" t="s">
        <v>13</v>
      </c>
      <c r="B88" s="2" t="s">
        <v>5</v>
      </c>
      <c r="C88" s="34">
        <v>740000</v>
      </c>
      <c r="D88" s="34">
        <v>750000</v>
      </c>
      <c r="E88" s="12">
        <f>Table2[[#This Row],[Sales]]*$G$2</f>
        <v>37000</v>
      </c>
    </row>
    <row r="89" spans="1:5" x14ac:dyDescent="0.25">
      <c r="A89" s="2" t="s">
        <v>12</v>
      </c>
      <c r="B89" s="2" t="s">
        <v>14</v>
      </c>
      <c r="C89" s="34">
        <v>1040000</v>
      </c>
      <c r="D89" s="34">
        <v>800000</v>
      </c>
      <c r="E89" s="12">
        <f>Table2[[#This Row],[Sales]]*$G$2</f>
        <v>52000</v>
      </c>
    </row>
    <row r="90" spans="1:5" x14ac:dyDescent="0.25">
      <c r="A90" s="2" t="s">
        <v>42</v>
      </c>
      <c r="B90" s="2" t="s">
        <v>29</v>
      </c>
      <c r="C90" s="34">
        <v>1040000</v>
      </c>
      <c r="D90" s="34">
        <v>1400000</v>
      </c>
      <c r="E90" s="12">
        <f>Table2[[#This Row],[Sales]]*$G$2</f>
        <v>52000</v>
      </c>
    </row>
    <row r="91" spans="1:5" x14ac:dyDescent="0.25">
      <c r="A91" s="2" t="s">
        <v>28</v>
      </c>
      <c r="B91" s="2" t="s">
        <v>16</v>
      </c>
      <c r="C91" s="34">
        <v>1280000</v>
      </c>
      <c r="D91" s="34">
        <v>1050000</v>
      </c>
      <c r="E91" s="12">
        <f>Table2[[#This Row],[Sales]]*$G$2</f>
        <v>64000</v>
      </c>
    </row>
    <row r="92" spans="1:5" x14ac:dyDescent="0.25">
      <c r="A92" s="2" t="s">
        <v>49</v>
      </c>
      <c r="B92" s="2" t="s">
        <v>44</v>
      </c>
      <c r="C92" s="34">
        <v>1540000</v>
      </c>
      <c r="D92" s="34">
        <v>1150000</v>
      </c>
      <c r="E92" s="12">
        <f>Table2[[#This Row],[Sales]]*$G$2</f>
        <v>77000</v>
      </c>
    </row>
    <row r="93" spans="1:5" x14ac:dyDescent="0.25">
      <c r="A93" s="2" t="s">
        <v>33</v>
      </c>
      <c r="B93" s="2" t="s">
        <v>39</v>
      </c>
      <c r="C93" s="34">
        <v>760000</v>
      </c>
      <c r="D93" s="34">
        <v>700000</v>
      </c>
      <c r="E93" s="12">
        <f>Table2[[#This Row],[Sales]]*$G$2</f>
        <v>38000</v>
      </c>
    </row>
    <row r="94" spans="1:5" x14ac:dyDescent="0.25">
      <c r="A94" s="2" t="s">
        <v>32</v>
      </c>
      <c r="B94" s="2" t="s">
        <v>44</v>
      </c>
      <c r="C94" s="34">
        <v>1510000</v>
      </c>
      <c r="D94" s="34">
        <v>1400000</v>
      </c>
      <c r="E94" s="12">
        <f>Table2[[#This Row],[Sales]]*$G$2</f>
        <v>75500</v>
      </c>
    </row>
    <row r="95" spans="1:5" x14ac:dyDescent="0.25">
      <c r="A95" s="2" t="s">
        <v>42</v>
      </c>
      <c r="B95" s="2" t="s">
        <v>18</v>
      </c>
      <c r="C95" s="34">
        <v>580000</v>
      </c>
      <c r="D95" s="34">
        <v>900000</v>
      </c>
      <c r="E95" s="12">
        <f>Table2[[#This Row],[Sales]]*$G$2</f>
        <v>29000</v>
      </c>
    </row>
    <row r="96" spans="1:5" x14ac:dyDescent="0.25">
      <c r="A96" s="2" t="s">
        <v>30</v>
      </c>
      <c r="B96" s="2" t="s">
        <v>9</v>
      </c>
      <c r="C96" s="34">
        <v>610000</v>
      </c>
      <c r="D96" s="34">
        <v>800000</v>
      </c>
      <c r="E96" s="12">
        <f>Table2[[#This Row],[Sales]]*$G$2</f>
        <v>30500</v>
      </c>
    </row>
    <row r="97" spans="1:5" x14ac:dyDescent="0.25">
      <c r="A97" s="2" t="s">
        <v>37</v>
      </c>
      <c r="B97" s="2" t="s">
        <v>46</v>
      </c>
      <c r="C97" s="34">
        <v>1030000</v>
      </c>
      <c r="D97" s="34">
        <v>1250000</v>
      </c>
      <c r="E97" s="12">
        <f>Table2[[#This Row],[Sales]]*$G$2</f>
        <v>51500</v>
      </c>
    </row>
    <row r="98" spans="1:5" x14ac:dyDescent="0.25">
      <c r="A98" s="2" t="s">
        <v>8</v>
      </c>
      <c r="B98" s="2" t="s">
        <v>14</v>
      </c>
      <c r="C98" s="34">
        <v>1030000</v>
      </c>
      <c r="D98" s="34">
        <v>1100000</v>
      </c>
      <c r="E98" s="12">
        <f>Table2[[#This Row],[Sales]]*$G$2</f>
        <v>51500</v>
      </c>
    </row>
    <row r="99" spans="1:5" x14ac:dyDescent="0.25">
      <c r="A99" s="2" t="s">
        <v>42</v>
      </c>
      <c r="B99" s="2" t="s">
        <v>27</v>
      </c>
      <c r="C99" s="34">
        <v>790000</v>
      </c>
      <c r="D99" s="34">
        <v>750000</v>
      </c>
      <c r="E99" s="12">
        <f>Table2[[#This Row],[Sales]]*$G$2</f>
        <v>39500</v>
      </c>
    </row>
    <row r="100" spans="1:5" x14ac:dyDescent="0.25">
      <c r="A100" s="2" t="s">
        <v>25</v>
      </c>
      <c r="B100" s="2" t="s">
        <v>14</v>
      </c>
      <c r="C100" s="34">
        <v>390000</v>
      </c>
      <c r="D100" s="34">
        <v>700000</v>
      </c>
      <c r="E100" s="12">
        <f>Table2[[#This Row],[Sales]]*$G$2</f>
        <v>19500</v>
      </c>
    </row>
    <row r="101" spans="1:5" x14ac:dyDescent="0.25">
      <c r="A101" s="2" t="s">
        <v>15</v>
      </c>
      <c r="B101" s="2" t="s">
        <v>18</v>
      </c>
      <c r="C101" s="34">
        <v>1600000</v>
      </c>
      <c r="D101" s="34">
        <v>1200000</v>
      </c>
      <c r="E101" s="12">
        <f>Table2[[#This Row],[Sales]]*$G$2</f>
        <v>80000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17890-E164-4A2C-90BB-B6090956B626}">
  <dimension ref="A1:N8"/>
  <sheetViews>
    <sheetView workbookViewId="0">
      <selection activeCell="J19" sqref="J19"/>
    </sheetView>
  </sheetViews>
  <sheetFormatPr defaultRowHeight="15" x14ac:dyDescent="0.25"/>
  <cols>
    <col min="1" max="1" width="18.5703125" style="22" bestFit="1" customWidth="1"/>
    <col min="2" max="2" width="10" bestFit="1" customWidth="1"/>
    <col min="11" max="11" width="8.140625" bestFit="1" customWidth="1"/>
  </cols>
  <sheetData>
    <row r="1" spans="1:14" x14ac:dyDescent="0.25">
      <c r="A1" s="17" t="s">
        <v>57</v>
      </c>
      <c r="B1" s="19" t="s">
        <v>58</v>
      </c>
      <c r="C1" s="15">
        <v>0.03</v>
      </c>
      <c r="D1" s="15">
        <v>0.05</v>
      </c>
      <c r="E1" s="15">
        <v>7.0000000000000007E-2</v>
      </c>
    </row>
    <row r="2" spans="1:14" x14ac:dyDescent="0.25">
      <c r="A2" s="11" t="s">
        <v>54</v>
      </c>
      <c r="B2" s="16">
        <v>0.8</v>
      </c>
      <c r="C2" s="23">
        <f>$B2*C$1</f>
        <v>2.4E-2</v>
      </c>
      <c r="D2" s="23">
        <f t="shared" ref="D2:E4" si="0">$B2*D$1</f>
        <v>4.0000000000000008E-2</v>
      </c>
      <c r="E2" s="23">
        <f t="shared" si="0"/>
        <v>5.6000000000000008E-2</v>
      </c>
    </row>
    <row r="3" spans="1:14" x14ac:dyDescent="0.25">
      <c r="A3" s="11" t="s">
        <v>55</v>
      </c>
      <c r="B3" s="16">
        <v>1</v>
      </c>
      <c r="C3" s="23">
        <f t="shared" ref="C3:C4" si="1">$B3*C$1</f>
        <v>0.03</v>
      </c>
      <c r="D3" s="23">
        <f t="shared" si="0"/>
        <v>0.05</v>
      </c>
      <c r="E3" s="23">
        <f t="shared" si="0"/>
        <v>7.0000000000000007E-2</v>
      </c>
    </row>
    <row r="4" spans="1:14" x14ac:dyDescent="0.25">
      <c r="A4" s="11" t="s">
        <v>56</v>
      </c>
      <c r="B4" s="16">
        <v>1.2</v>
      </c>
      <c r="C4" s="23">
        <f t="shared" si="1"/>
        <v>3.5999999999999997E-2</v>
      </c>
      <c r="D4" s="23">
        <f t="shared" si="0"/>
        <v>0.06</v>
      </c>
      <c r="E4" s="23">
        <f t="shared" si="0"/>
        <v>8.4000000000000005E-2</v>
      </c>
    </row>
    <row r="5" spans="1:14" x14ac:dyDescent="0.25">
      <c r="B5" s="9"/>
      <c r="C5" s="16"/>
      <c r="D5" s="16"/>
      <c r="E5" s="16"/>
      <c r="J5" s="18"/>
      <c r="K5" s="19"/>
      <c r="L5" s="15"/>
      <c r="M5" s="15"/>
      <c r="N5" s="15"/>
    </row>
    <row r="6" spans="1:14" x14ac:dyDescent="0.25">
      <c r="J6" s="9"/>
      <c r="K6" s="16"/>
      <c r="L6" s="24"/>
      <c r="M6" s="21"/>
      <c r="N6" s="24"/>
    </row>
    <row r="7" spans="1:14" x14ac:dyDescent="0.25">
      <c r="J7" s="9"/>
      <c r="K7" s="16"/>
      <c r="L7" s="21"/>
      <c r="M7" s="21"/>
      <c r="N7" s="21"/>
    </row>
    <row r="8" spans="1:14" x14ac:dyDescent="0.25">
      <c r="J8" s="9"/>
      <c r="K8" s="16"/>
      <c r="L8" s="24"/>
      <c r="M8" s="21"/>
      <c r="N8" s="2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2889E-88AC-4ACB-9825-BCE9539E77AF}">
  <dimension ref="A1:F101"/>
  <sheetViews>
    <sheetView workbookViewId="0">
      <selection activeCell="J7" sqref="J7"/>
    </sheetView>
  </sheetViews>
  <sheetFormatPr defaultRowHeight="15" x14ac:dyDescent="0.25"/>
  <cols>
    <col min="1" max="1" width="18.42578125" bestFit="1" customWidth="1"/>
    <col min="2" max="2" width="13.5703125" bestFit="1" customWidth="1"/>
    <col min="3" max="4" width="16.140625" bestFit="1" customWidth="1"/>
    <col min="5" max="5" width="28.42578125" style="7" bestFit="1" customWidth="1"/>
    <col min="6" max="6" width="28" bestFit="1" customWidth="1"/>
  </cols>
  <sheetData>
    <row r="1" spans="1:6" x14ac:dyDescent="0.25">
      <c r="A1" s="1" t="s">
        <v>0</v>
      </c>
      <c r="B1" s="1" t="s">
        <v>1</v>
      </c>
      <c r="C1" s="3" t="s">
        <v>2</v>
      </c>
      <c r="D1" s="3" t="s">
        <v>3</v>
      </c>
      <c r="E1" s="14" t="s">
        <v>50</v>
      </c>
      <c r="F1" s="13" t="s">
        <v>51</v>
      </c>
    </row>
    <row r="2" spans="1:6" x14ac:dyDescent="0.25">
      <c r="A2" s="2" t="s">
        <v>4</v>
      </c>
      <c r="B2" s="2" t="s">
        <v>5</v>
      </c>
      <c r="C2" s="4">
        <v>800000</v>
      </c>
      <c r="D2" s="4">
        <v>700000</v>
      </c>
      <c r="E2" s="6">
        <f>Table3[[#This Row],[Sales]]/Table3[[#This Row],[Target]]</f>
        <v>1.1428571428571428</v>
      </c>
      <c r="F2" s="12" t="str">
        <f>IF(Table3[[#This Row],[Target_Achievement]]&gt;100%,"Target Achieved","Below Target")</f>
        <v>Target Achieved</v>
      </c>
    </row>
    <row r="3" spans="1:6" x14ac:dyDescent="0.25">
      <c r="A3" s="2" t="s">
        <v>6</v>
      </c>
      <c r="B3" s="2" t="s">
        <v>7</v>
      </c>
      <c r="C3" s="4">
        <v>910000</v>
      </c>
      <c r="D3" s="4">
        <v>800000</v>
      </c>
      <c r="E3" s="6">
        <f>Table3[[#This Row],[Sales]]/Table3[[#This Row],[Target]]</f>
        <v>1.1375</v>
      </c>
      <c r="F3" s="12" t="str">
        <f>IF(Table3[[#This Row],[Target_Achievement]]&gt;100%,"Target Achieved","Below Target")</f>
        <v>Target Achieved</v>
      </c>
    </row>
    <row r="4" spans="1:6" x14ac:dyDescent="0.25">
      <c r="A4" s="2" t="s">
        <v>8</v>
      </c>
      <c r="B4" s="2" t="s">
        <v>9</v>
      </c>
      <c r="C4" s="4">
        <v>770000</v>
      </c>
      <c r="D4" s="4">
        <v>750000</v>
      </c>
      <c r="E4" s="6">
        <f>Table3[[#This Row],[Sales]]/Table3[[#This Row],[Target]]</f>
        <v>1.0266666666666666</v>
      </c>
      <c r="F4" s="12" t="str">
        <f>IF(Table3[[#This Row],[Target_Achievement]]&gt;100%,"Target Achieved","Below Target")</f>
        <v>Target Achieved</v>
      </c>
    </row>
    <row r="5" spans="1:6" x14ac:dyDescent="0.25">
      <c r="A5" s="2" t="s">
        <v>10</v>
      </c>
      <c r="B5" s="2" t="s">
        <v>11</v>
      </c>
      <c r="C5" s="4">
        <v>540000</v>
      </c>
      <c r="D5" s="4">
        <v>750000</v>
      </c>
      <c r="E5" s="6">
        <f>Table3[[#This Row],[Sales]]/Table3[[#This Row],[Target]]</f>
        <v>0.72</v>
      </c>
      <c r="F5" s="12" t="str">
        <f>IF(Table3[[#This Row],[Target_Achievement]]&gt;100%,"Target Achieved","Below Target")</f>
        <v>Below Target</v>
      </c>
    </row>
    <row r="6" spans="1:6" x14ac:dyDescent="0.25">
      <c r="A6" s="2" t="s">
        <v>12</v>
      </c>
      <c r="B6" s="2" t="s">
        <v>11</v>
      </c>
      <c r="C6" s="4">
        <v>780000</v>
      </c>
      <c r="D6" s="4">
        <v>1100000</v>
      </c>
      <c r="E6" s="6">
        <f>Table3[[#This Row],[Sales]]/Table3[[#This Row],[Target]]</f>
        <v>0.70909090909090911</v>
      </c>
      <c r="F6" s="12" t="str">
        <f>IF(Table3[[#This Row],[Target_Achievement]]&gt;100%,"Target Achieved","Below Target")</f>
        <v>Below Target</v>
      </c>
    </row>
    <row r="7" spans="1:6" x14ac:dyDescent="0.25">
      <c r="A7" s="2" t="s">
        <v>4</v>
      </c>
      <c r="B7" s="2" t="s">
        <v>9</v>
      </c>
      <c r="C7" s="4">
        <v>730000</v>
      </c>
      <c r="D7" s="4">
        <v>1000000</v>
      </c>
      <c r="E7" s="6">
        <f>Table3[[#This Row],[Sales]]/Table3[[#This Row],[Target]]</f>
        <v>0.73</v>
      </c>
      <c r="F7" s="12" t="str">
        <f>IF(Table3[[#This Row],[Target_Achievement]]&gt;100%,"Target Achieved","Below Target")</f>
        <v>Below Target</v>
      </c>
    </row>
    <row r="8" spans="1:6" x14ac:dyDescent="0.25">
      <c r="A8" s="2" t="s">
        <v>13</v>
      </c>
      <c r="B8" s="2" t="s">
        <v>14</v>
      </c>
      <c r="C8" s="4">
        <v>1620000</v>
      </c>
      <c r="D8" s="4">
        <v>1300000</v>
      </c>
      <c r="E8" s="6">
        <f>Table3[[#This Row],[Sales]]/Table3[[#This Row],[Target]]</f>
        <v>1.2461538461538462</v>
      </c>
      <c r="F8" s="12" t="str">
        <f>IF(Table3[[#This Row],[Target_Achievement]]&gt;100%,"Target Achieved","Below Target")</f>
        <v>Target Achieved</v>
      </c>
    </row>
    <row r="9" spans="1:6" x14ac:dyDescent="0.25">
      <c r="A9" s="2" t="s">
        <v>15</v>
      </c>
      <c r="B9" s="2" t="s">
        <v>16</v>
      </c>
      <c r="C9" s="4">
        <v>1110000</v>
      </c>
      <c r="D9" s="4">
        <v>1250000</v>
      </c>
      <c r="E9" s="6">
        <f>Table3[[#This Row],[Sales]]/Table3[[#This Row],[Target]]</f>
        <v>0.88800000000000001</v>
      </c>
      <c r="F9" s="12" t="str">
        <f>IF(Table3[[#This Row],[Target_Achievement]]&gt;100%,"Target Achieved","Below Target")</f>
        <v>Below Target</v>
      </c>
    </row>
    <row r="10" spans="1:6" x14ac:dyDescent="0.25">
      <c r="A10" s="2" t="s">
        <v>17</v>
      </c>
      <c r="B10" s="2" t="s">
        <v>18</v>
      </c>
      <c r="C10" s="4">
        <v>1120000</v>
      </c>
      <c r="D10" s="4">
        <v>850000</v>
      </c>
      <c r="E10" s="6">
        <f>Table3[[#This Row],[Sales]]/Table3[[#This Row],[Target]]</f>
        <v>1.3176470588235294</v>
      </c>
      <c r="F10" s="12" t="str">
        <f>IF(Table3[[#This Row],[Target_Achievement]]&gt;100%,"Target Achieved","Below Target")</f>
        <v>Target Achieved</v>
      </c>
    </row>
    <row r="11" spans="1:6" x14ac:dyDescent="0.25">
      <c r="A11" s="2" t="s">
        <v>19</v>
      </c>
      <c r="B11" s="2" t="s">
        <v>5</v>
      </c>
      <c r="C11" s="4">
        <v>640000</v>
      </c>
      <c r="D11" s="4">
        <v>750000</v>
      </c>
      <c r="E11" s="6">
        <f>Table3[[#This Row],[Sales]]/Table3[[#This Row],[Target]]</f>
        <v>0.85333333333333339</v>
      </c>
      <c r="F11" s="12" t="str">
        <f>IF(Table3[[#This Row],[Target_Achievement]]&gt;100%,"Target Achieved","Below Target")</f>
        <v>Below Target</v>
      </c>
    </row>
    <row r="12" spans="1:6" x14ac:dyDescent="0.25">
      <c r="A12" s="2" t="s">
        <v>20</v>
      </c>
      <c r="B12" s="2" t="s">
        <v>21</v>
      </c>
      <c r="C12" s="4">
        <v>880000</v>
      </c>
      <c r="D12" s="4">
        <v>1150000</v>
      </c>
      <c r="E12" s="6">
        <f>Table3[[#This Row],[Sales]]/Table3[[#This Row],[Target]]</f>
        <v>0.76521739130434785</v>
      </c>
      <c r="F12" s="12" t="str">
        <f>IF(Table3[[#This Row],[Target_Achievement]]&gt;100%,"Target Achieved","Below Target")</f>
        <v>Below Target</v>
      </c>
    </row>
    <row r="13" spans="1:6" x14ac:dyDescent="0.25">
      <c r="A13" s="2" t="s">
        <v>10</v>
      </c>
      <c r="B13" s="2" t="s">
        <v>22</v>
      </c>
      <c r="C13" s="4">
        <v>710000</v>
      </c>
      <c r="D13" s="4">
        <v>1100000</v>
      </c>
      <c r="E13" s="6">
        <f>Table3[[#This Row],[Sales]]/Table3[[#This Row],[Target]]</f>
        <v>0.6454545454545455</v>
      </c>
      <c r="F13" s="12" t="str">
        <f>IF(Table3[[#This Row],[Target_Achievement]]&gt;100%,"Target Achieved","Below Target")</f>
        <v>Below Target</v>
      </c>
    </row>
    <row r="14" spans="1:6" x14ac:dyDescent="0.25">
      <c r="A14" s="2" t="s">
        <v>23</v>
      </c>
      <c r="B14" s="2" t="s">
        <v>24</v>
      </c>
      <c r="C14" s="4">
        <v>740000</v>
      </c>
      <c r="D14" s="4">
        <v>750000</v>
      </c>
      <c r="E14" s="6">
        <f>Table3[[#This Row],[Sales]]/Table3[[#This Row],[Target]]</f>
        <v>0.98666666666666669</v>
      </c>
      <c r="F14" s="12" t="str">
        <f>IF(Table3[[#This Row],[Target_Achievement]]&gt;100%,"Target Achieved","Below Target")</f>
        <v>Below Target</v>
      </c>
    </row>
    <row r="15" spans="1:6" x14ac:dyDescent="0.25">
      <c r="A15" s="2" t="s">
        <v>25</v>
      </c>
      <c r="B15" s="2" t="s">
        <v>21</v>
      </c>
      <c r="C15" s="4">
        <v>810000</v>
      </c>
      <c r="D15" s="4">
        <v>1150000</v>
      </c>
      <c r="E15" s="6">
        <f>Table3[[#This Row],[Sales]]/Table3[[#This Row],[Target]]</f>
        <v>0.70434782608695656</v>
      </c>
      <c r="F15" s="12" t="str">
        <f>IF(Table3[[#This Row],[Target_Achievement]]&gt;100%,"Target Achieved","Below Target")</f>
        <v>Below Target</v>
      </c>
    </row>
    <row r="16" spans="1:6" x14ac:dyDescent="0.25">
      <c r="A16" s="2" t="s">
        <v>26</v>
      </c>
      <c r="B16" s="2" t="s">
        <v>27</v>
      </c>
      <c r="C16" s="4">
        <v>880000</v>
      </c>
      <c r="D16" s="4">
        <v>1200000</v>
      </c>
      <c r="E16" s="6">
        <f>Table3[[#This Row],[Sales]]/Table3[[#This Row],[Target]]</f>
        <v>0.73333333333333328</v>
      </c>
      <c r="F16" s="12" t="str">
        <f>IF(Table3[[#This Row],[Target_Achievement]]&gt;100%,"Target Achieved","Below Target")</f>
        <v>Below Target</v>
      </c>
    </row>
    <row r="17" spans="1:6" x14ac:dyDescent="0.25">
      <c r="A17" s="2" t="s">
        <v>28</v>
      </c>
      <c r="B17" s="2" t="s">
        <v>29</v>
      </c>
      <c r="C17" s="4">
        <v>990000</v>
      </c>
      <c r="D17" s="4">
        <v>1350000</v>
      </c>
      <c r="E17" s="6">
        <f>Table3[[#This Row],[Sales]]/Table3[[#This Row],[Target]]</f>
        <v>0.73333333333333328</v>
      </c>
      <c r="F17" s="12" t="str">
        <f>IF(Table3[[#This Row],[Target_Achievement]]&gt;100%,"Target Achieved","Below Target")</f>
        <v>Below Target</v>
      </c>
    </row>
    <row r="18" spans="1:6" x14ac:dyDescent="0.25">
      <c r="A18" s="2" t="s">
        <v>30</v>
      </c>
      <c r="B18" s="2" t="s">
        <v>24</v>
      </c>
      <c r="C18" s="4">
        <v>820000</v>
      </c>
      <c r="D18" s="4">
        <v>900000</v>
      </c>
      <c r="E18" s="6">
        <f>Table3[[#This Row],[Sales]]/Table3[[#This Row],[Target]]</f>
        <v>0.91111111111111109</v>
      </c>
      <c r="F18" s="12" t="str">
        <f>IF(Table3[[#This Row],[Target_Achievement]]&gt;100%,"Target Achieved","Below Target")</f>
        <v>Below Target</v>
      </c>
    </row>
    <row r="19" spans="1:6" x14ac:dyDescent="0.25">
      <c r="A19" s="2" t="s">
        <v>25</v>
      </c>
      <c r="B19" s="2" t="s">
        <v>21</v>
      </c>
      <c r="C19" s="4">
        <v>680000</v>
      </c>
      <c r="D19" s="4">
        <v>800000</v>
      </c>
      <c r="E19" s="6">
        <f>Table3[[#This Row],[Sales]]/Table3[[#This Row],[Target]]</f>
        <v>0.85</v>
      </c>
      <c r="F19" s="12" t="str">
        <f>IF(Table3[[#This Row],[Target_Achievement]]&gt;100%,"Target Achieved","Below Target")</f>
        <v>Below Target</v>
      </c>
    </row>
    <row r="20" spans="1:6" x14ac:dyDescent="0.25">
      <c r="A20" s="2" t="s">
        <v>31</v>
      </c>
      <c r="B20" s="2" t="s">
        <v>14</v>
      </c>
      <c r="C20" s="4">
        <v>1620000</v>
      </c>
      <c r="D20" s="4">
        <v>1250000</v>
      </c>
      <c r="E20" s="6">
        <f>Table3[[#This Row],[Sales]]/Table3[[#This Row],[Target]]</f>
        <v>1.296</v>
      </c>
      <c r="F20" s="12" t="str">
        <f>IF(Table3[[#This Row],[Target_Achievement]]&gt;100%,"Target Achieved","Below Target")</f>
        <v>Target Achieved</v>
      </c>
    </row>
    <row r="21" spans="1:6" x14ac:dyDescent="0.25">
      <c r="A21" s="2" t="s">
        <v>4</v>
      </c>
      <c r="B21" s="2" t="s">
        <v>29</v>
      </c>
      <c r="C21" s="4">
        <v>1220000</v>
      </c>
      <c r="D21" s="4">
        <v>1150000</v>
      </c>
      <c r="E21" s="6">
        <f>Table3[[#This Row],[Sales]]/Table3[[#This Row],[Target]]</f>
        <v>1.0608695652173914</v>
      </c>
      <c r="F21" s="12" t="str">
        <f>IF(Table3[[#This Row],[Target_Achievement]]&gt;100%,"Target Achieved","Below Target")</f>
        <v>Target Achieved</v>
      </c>
    </row>
    <row r="22" spans="1:6" x14ac:dyDescent="0.25">
      <c r="A22" s="2" t="s">
        <v>32</v>
      </c>
      <c r="B22" s="2" t="s">
        <v>7</v>
      </c>
      <c r="C22" s="4">
        <v>740000</v>
      </c>
      <c r="D22" s="4">
        <v>800000</v>
      </c>
      <c r="E22" s="6">
        <f>Table3[[#This Row],[Sales]]/Table3[[#This Row],[Target]]</f>
        <v>0.92500000000000004</v>
      </c>
      <c r="F22" s="12" t="str">
        <f>IF(Table3[[#This Row],[Target_Achievement]]&gt;100%,"Target Achieved","Below Target")</f>
        <v>Below Target</v>
      </c>
    </row>
    <row r="23" spans="1:6" x14ac:dyDescent="0.25">
      <c r="A23" s="2" t="s">
        <v>17</v>
      </c>
      <c r="B23" s="2" t="s">
        <v>9</v>
      </c>
      <c r="C23" s="4">
        <v>930000</v>
      </c>
      <c r="D23" s="4">
        <v>850000</v>
      </c>
      <c r="E23" s="6">
        <f>Table3[[#This Row],[Sales]]/Table3[[#This Row],[Target]]</f>
        <v>1.0941176470588236</v>
      </c>
      <c r="F23" s="12" t="str">
        <f>IF(Table3[[#This Row],[Target_Achievement]]&gt;100%,"Target Achieved","Below Target")</f>
        <v>Target Achieved</v>
      </c>
    </row>
    <row r="24" spans="1:6" x14ac:dyDescent="0.25">
      <c r="A24" s="2" t="s">
        <v>25</v>
      </c>
      <c r="B24" s="2" t="s">
        <v>27</v>
      </c>
      <c r="C24" s="4">
        <v>1030000</v>
      </c>
      <c r="D24" s="4">
        <v>850000</v>
      </c>
      <c r="E24" s="6">
        <f>Table3[[#This Row],[Sales]]/Table3[[#This Row],[Target]]</f>
        <v>1.2117647058823529</v>
      </c>
      <c r="F24" s="12" t="str">
        <f>IF(Table3[[#This Row],[Target_Achievement]]&gt;100%,"Target Achieved","Below Target")</f>
        <v>Target Achieved</v>
      </c>
    </row>
    <row r="25" spans="1:6" x14ac:dyDescent="0.25">
      <c r="A25" s="2" t="s">
        <v>33</v>
      </c>
      <c r="B25" s="2" t="s">
        <v>34</v>
      </c>
      <c r="C25" s="4">
        <v>760000</v>
      </c>
      <c r="D25" s="4">
        <v>1000000</v>
      </c>
      <c r="E25" s="6">
        <f>Table3[[#This Row],[Sales]]/Table3[[#This Row],[Target]]</f>
        <v>0.76</v>
      </c>
      <c r="F25" s="12" t="str">
        <f>IF(Table3[[#This Row],[Target_Achievement]]&gt;100%,"Target Achieved","Below Target")</f>
        <v>Below Target</v>
      </c>
    </row>
    <row r="26" spans="1:6" x14ac:dyDescent="0.25">
      <c r="A26" s="2" t="s">
        <v>31</v>
      </c>
      <c r="B26" s="2" t="s">
        <v>34</v>
      </c>
      <c r="C26" s="4">
        <v>910000</v>
      </c>
      <c r="D26" s="4">
        <v>850000</v>
      </c>
      <c r="E26" s="6">
        <f>Table3[[#This Row],[Sales]]/Table3[[#This Row],[Target]]</f>
        <v>1.0705882352941176</v>
      </c>
      <c r="F26" s="12" t="str">
        <f>IF(Table3[[#This Row],[Target_Achievement]]&gt;100%,"Target Achieved","Below Target")</f>
        <v>Target Achieved</v>
      </c>
    </row>
    <row r="27" spans="1:6" x14ac:dyDescent="0.25">
      <c r="A27" s="2" t="s">
        <v>35</v>
      </c>
      <c r="B27" s="2" t="s">
        <v>22</v>
      </c>
      <c r="C27" s="4">
        <v>610000</v>
      </c>
      <c r="D27" s="4">
        <v>800000</v>
      </c>
      <c r="E27" s="6">
        <f>Table3[[#This Row],[Sales]]/Table3[[#This Row],[Target]]</f>
        <v>0.76249999999999996</v>
      </c>
      <c r="F27" s="12" t="str">
        <f>IF(Table3[[#This Row],[Target_Achievement]]&gt;100%,"Target Achieved","Below Target")</f>
        <v>Below Target</v>
      </c>
    </row>
    <row r="28" spans="1:6" x14ac:dyDescent="0.25">
      <c r="A28" s="2" t="s">
        <v>6</v>
      </c>
      <c r="B28" s="2" t="s">
        <v>9</v>
      </c>
      <c r="C28" s="4">
        <v>840000</v>
      </c>
      <c r="D28" s="4">
        <v>1100000</v>
      </c>
      <c r="E28" s="6">
        <f>Table3[[#This Row],[Sales]]/Table3[[#This Row],[Target]]</f>
        <v>0.76363636363636367</v>
      </c>
      <c r="F28" s="12" t="str">
        <f>IF(Table3[[#This Row],[Target_Achievement]]&gt;100%,"Target Achieved","Below Target")</f>
        <v>Below Target</v>
      </c>
    </row>
    <row r="29" spans="1:6" x14ac:dyDescent="0.25">
      <c r="A29" s="2" t="s">
        <v>13</v>
      </c>
      <c r="B29" s="2" t="s">
        <v>36</v>
      </c>
      <c r="C29" s="4">
        <v>1420000</v>
      </c>
      <c r="D29" s="4">
        <v>1400000</v>
      </c>
      <c r="E29" s="6">
        <f>Table3[[#This Row],[Sales]]/Table3[[#This Row],[Target]]</f>
        <v>1.0142857142857142</v>
      </c>
      <c r="F29" s="12" t="str">
        <f>IF(Table3[[#This Row],[Target_Achievement]]&gt;100%,"Target Achieved","Below Target")</f>
        <v>Target Achieved</v>
      </c>
    </row>
    <row r="30" spans="1:6" x14ac:dyDescent="0.25">
      <c r="A30" s="2" t="s">
        <v>20</v>
      </c>
      <c r="B30" s="2" t="s">
        <v>7</v>
      </c>
      <c r="C30" s="4">
        <v>770000</v>
      </c>
      <c r="D30" s="4">
        <v>800000</v>
      </c>
      <c r="E30" s="6">
        <f>Table3[[#This Row],[Sales]]/Table3[[#This Row],[Target]]</f>
        <v>0.96250000000000002</v>
      </c>
      <c r="F30" s="12" t="str">
        <f>IF(Table3[[#This Row],[Target_Achievement]]&gt;100%,"Target Achieved","Below Target")</f>
        <v>Below Target</v>
      </c>
    </row>
    <row r="31" spans="1:6" x14ac:dyDescent="0.25">
      <c r="A31" s="2" t="s">
        <v>26</v>
      </c>
      <c r="B31" s="2" t="s">
        <v>27</v>
      </c>
      <c r="C31" s="4">
        <v>860000</v>
      </c>
      <c r="D31" s="4">
        <v>1350000</v>
      </c>
      <c r="E31" s="6">
        <f>Table3[[#This Row],[Sales]]/Table3[[#This Row],[Target]]</f>
        <v>0.63703703703703707</v>
      </c>
      <c r="F31" s="12" t="str">
        <f>IF(Table3[[#This Row],[Target_Achievement]]&gt;100%,"Target Achieved","Below Target")</f>
        <v>Below Target</v>
      </c>
    </row>
    <row r="32" spans="1:6" x14ac:dyDescent="0.25">
      <c r="A32" s="2" t="s">
        <v>4</v>
      </c>
      <c r="B32" s="2" t="s">
        <v>16</v>
      </c>
      <c r="C32" s="4">
        <v>1420000</v>
      </c>
      <c r="D32" s="4">
        <v>1300000</v>
      </c>
      <c r="E32" s="6">
        <f>Table3[[#This Row],[Sales]]/Table3[[#This Row],[Target]]</f>
        <v>1.0923076923076922</v>
      </c>
      <c r="F32" s="12" t="str">
        <f>IF(Table3[[#This Row],[Target_Achievement]]&gt;100%,"Target Achieved","Below Target")</f>
        <v>Target Achieved</v>
      </c>
    </row>
    <row r="33" spans="1:6" x14ac:dyDescent="0.25">
      <c r="A33" s="2" t="s">
        <v>37</v>
      </c>
      <c r="B33" s="2" t="s">
        <v>29</v>
      </c>
      <c r="C33" s="4">
        <v>860000</v>
      </c>
      <c r="D33" s="4">
        <v>1000000</v>
      </c>
      <c r="E33" s="6">
        <f>Table3[[#This Row],[Sales]]/Table3[[#This Row],[Target]]</f>
        <v>0.86</v>
      </c>
      <c r="F33" s="12" t="str">
        <f>IF(Table3[[#This Row],[Target_Achievement]]&gt;100%,"Target Achieved","Below Target")</f>
        <v>Below Target</v>
      </c>
    </row>
    <row r="34" spans="1:6" x14ac:dyDescent="0.25">
      <c r="A34" s="2" t="s">
        <v>38</v>
      </c>
      <c r="B34" s="2" t="s">
        <v>39</v>
      </c>
      <c r="C34" s="4">
        <v>1190000</v>
      </c>
      <c r="D34" s="4">
        <v>900000</v>
      </c>
      <c r="E34" s="6">
        <f>Table3[[#This Row],[Sales]]/Table3[[#This Row],[Target]]</f>
        <v>1.3222222222222222</v>
      </c>
      <c r="F34" s="12" t="str">
        <f>IF(Table3[[#This Row],[Target_Achievement]]&gt;100%,"Target Achieved","Below Target")</f>
        <v>Target Achieved</v>
      </c>
    </row>
    <row r="35" spans="1:6" x14ac:dyDescent="0.25">
      <c r="A35" s="2" t="s">
        <v>40</v>
      </c>
      <c r="B35" s="2" t="s">
        <v>11</v>
      </c>
      <c r="C35" s="4">
        <v>1350000</v>
      </c>
      <c r="D35" s="4">
        <v>1200000</v>
      </c>
      <c r="E35" s="6">
        <f>Table3[[#This Row],[Sales]]/Table3[[#This Row],[Target]]</f>
        <v>1.125</v>
      </c>
      <c r="F35" s="12" t="str">
        <f>IF(Table3[[#This Row],[Target_Achievement]]&gt;100%,"Target Achieved","Below Target")</f>
        <v>Target Achieved</v>
      </c>
    </row>
    <row r="36" spans="1:6" x14ac:dyDescent="0.25">
      <c r="A36" s="2" t="s">
        <v>8</v>
      </c>
      <c r="B36" s="2" t="s">
        <v>9</v>
      </c>
      <c r="C36" s="4">
        <v>990000</v>
      </c>
      <c r="D36" s="4">
        <v>1300000</v>
      </c>
      <c r="E36" s="6">
        <f>Table3[[#This Row],[Sales]]/Table3[[#This Row],[Target]]</f>
        <v>0.7615384615384615</v>
      </c>
      <c r="F36" s="12" t="str">
        <f>IF(Table3[[#This Row],[Target_Achievement]]&gt;100%,"Target Achieved","Below Target")</f>
        <v>Below Target</v>
      </c>
    </row>
    <row r="37" spans="1:6" x14ac:dyDescent="0.25">
      <c r="A37" s="2" t="s">
        <v>4</v>
      </c>
      <c r="B37" s="2" t="s">
        <v>34</v>
      </c>
      <c r="C37" s="4">
        <v>590000</v>
      </c>
      <c r="D37" s="4">
        <v>750000</v>
      </c>
      <c r="E37" s="6">
        <f>Table3[[#This Row],[Sales]]/Table3[[#This Row],[Target]]</f>
        <v>0.78666666666666663</v>
      </c>
      <c r="F37" s="12" t="str">
        <f>IF(Table3[[#This Row],[Target_Achievement]]&gt;100%,"Target Achieved","Below Target")</f>
        <v>Below Target</v>
      </c>
    </row>
    <row r="38" spans="1:6" x14ac:dyDescent="0.25">
      <c r="A38" s="2" t="s">
        <v>41</v>
      </c>
      <c r="B38" s="2" t="s">
        <v>22</v>
      </c>
      <c r="C38" s="4">
        <v>920000</v>
      </c>
      <c r="D38" s="4">
        <v>700000</v>
      </c>
      <c r="E38" s="6">
        <f>Table3[[#This Row],[Sales]]/Table3[[#This Row],[Target]]</f>
        <v>1.3142857142857143</v>
      </c>
      <c r="F38" s="12" t="str">
        <f>IF(Table3[[#This Row],[Target_Achievement]]&gt;100%,"Target Achieved","Below Target")</f>
        <v>Target Achieved</v>
      </c>
    </row>
    <row r="39" spans="1:6" x14ac:dyDescent="0.25">
      <c r="A39" s="2" t="s">
        <v>42</v>
      </c>
      <c r="B39" s="2" t="s">
        <v>14</v>
      </c>
      <c r="C39" s="4">
        <v>1280000</v>
      </c>
      <c r="D39" s="4">
        <v>1100000</v>
      </c>
      <c r="E39" s="6">
        <f>Table3[[#This Row],[Sales]]/Table3[[#This Row],[Target]]</f>
        <v>1.1636363636363636</v>
      </c>
      <c r="F39" s="12" t="str">
        <f>IF(Table3[[#This Row],[Target_Achievement]]&gt;100%,"Target Achieved","Below Target")</f>
        <v>Target Achieved</v>
      </c>
    </row>
    <row r="40" spans="1:6" x14ac:dyDescent="0.25">
      <c r="A40" s="2" t="s">
        <v>12</v>
      </c>
      <c r="B40" s="2" t="s">
        <v>5</v>
      </c>
      <c r="C40" s="4">
        <v>1420000</v>
      </c>
      <c r="D40" s="4">
        <v>1350000</v>
      </c>
      <c r="E40" s="6">
        <f>Table3[[#This Row],[Sales]]/Table3[[#This Row],[Target]]</f>
        <v>1.0518518518518518</v>
      </c>
      <c r="F40" s="12" t="str">
        <f>IF(Table3[[#This Row],[Target_Achievement]]&gt;100%,"Target Achieved","Below Target")</f>
        <v>Target Achieved</v>
      </c>
    </row>
    <row r="41" spans="1:6" x14ac:dyDescent="0.25">
      <c r="A41" s="2" t="s">
        <v>25</v>
      </c>
      <c r="B41" s="2" t="s">
        <v>39</v>
      </c>
      <c r="C41" s="4">
        <v>820000</v>
      </c>
      <c r="D41" s="4">
        <v>1150000</v>
      </c>
      <c r="E41" s="6">
        <f>Table3[[#This Row],[Sales]]/Table3[[#This Row],[Target]]</f>
        <v>0.71304347826086956</v>
      </c>
      <c r="F41" s="12" t="str">
        <f>IF(Table3[[#This Row],[Target_Achievement]]&gt;100%,"Target Achieved","Below Target")</f>
        <v>Below Target</v>
      </c>
    </row>
    <row r="42" spans="1:6" x14ac:dyDescent="0.25">
      <c r="A42" s="2" t="s">
        <v>20</v>
      </c>
      <c r="B42" s="2" t="s">
        <v>16</v>
      </c>
      <c r="C42" s="4">
        <v>1440000</v>
      </c>
      <c r="D42" s="4">
        <v>1100000</v>
      </c>
      <c r="E42" s="6">
        <f>Table3[[#This Row],[Sales]]/Table3[[#This Row],[Target]]</f>
        <v>1.3090909090909091</v>
      </c>
      <c r="F42" s="12" t="str">
        <f>IF(Table3[[#This Row],[Target_Achievement]]&gt;100%,"Target Achieved","Below Target")</f>
        <v>Target Achieved</v>
      </c>
    </row>
    <row r="43" spans="1:6" x14ac:dyDescent="0.25">
      <c r="A43" s="2" t="s">
        <v>23</v>
      </c>
      <c r="B43" s="2" t="s">
        <v>39</v>
      </c>
      <c r="C43" s="4">
        <v>770000</v>
      </c>
      <c r="D43" s="4">
        <v>1400000</v>
      </c>
      <c r="E43" s="6">
        <f>Table3[[#This Row],[Sales]]/Table3[[#This Row],[Target]]</f>
        <v>0.55000000000000004</v>
      </c>
      <c r="F43" s="12" t="str">
        <f>IF(Table3[[#This Row],[Target_Achievement]]&gt;100%,"Target Achieved","Below Target")</f>
        <v>Below Target</v>
      </c>
    </row>
    <row r="44" spans="1:6" x14ac:dyDescent="0.25">
      <c r="A44" s="2" t="s">
        <v>19</v>
      </c>
      <c r="B44" s="2" t="s">
        <v>43</v>
      </c>
      <c r="C44" s="4">
        <v>450000</v>
      </c>
      <c r="D44" s="4">
        <v>700000</v>
      </c>
      <c r="E44" s="6">
        <f>Table3[[#This Row],[Sales]]/Table3[[#This Row],[Target]]</f>
        <v>0.6428571428571429</v>
      </c>
      <c r="F44" s="12" t="str">
        <f>IF(Table3[[#This Row],[Target_Achievement]]&gt;100%,"Target Achieved","Below Target")</f>
        <v>Below Target</v>
      </c>
    </row>
    <row r="45" spans="1:6" x14ac:dyDescent="0.25">
      <c r="A45" s="2" t="s">
        <v>20</v>
      </c>
      <c r="B45" s="2" t="s">
        <v>44</v>
      </c>
      <c r="C45" s="4">
        <v>510000</v>
      </c>
      <c r="D45" s="4">
        <v>850000</v>
      </c>
      <c r="E45" s="6">
        <f>Table3[[#This Row],[Sales]]/Table3[[#This Row],[Target]]</f>
        <v>0.6</v>
      </c>
      <c r="F45" s="12" t="str">
        <f>IF(Table3[[#This Row],[Target_Achievement]]&gt;100%,"Target Achieved","Below Target")</f>
        <v>Below Target</v>
      </c>
    </row>
    <row r="46" spans="1:6" x14ac:dyDescent="0.25">
      <c r="A46" s="2" t="s">
        <v>42</v>
      </c>
      <c r="B46" s="2" t="s">
        <v>29</v>
      </c>
      <c r="C46" s="4">
        <v>850000</v>
      </c>
      <c r="D46" s="4">
        <v>750000</v>
      </c>
      <c r="E46" s="6">
        <f>Table3[[#This Row],[Sales]]/Table3[[#This Row],[Target]]</f>
        <v>1.1333333333333333</v>
      </c>
      <c r="F46" s="12" t="str">
        <f>IF(Table3[[#This Row],[Target_Achievement]]&gt;100%,"Target Achieved","Below Target")</f>
        <v>Target Achieved</v>
      </c>
    </row>
    <row r="47" spans="1:6" x14ac:dyDescent="0.25">
      <c r="A47" s="2" t="s">
        <v>25</v>
      </c>
      <c r="B47" s="2" t="s">
        <v>29</v>
      </c>
      <c r="C47" s="4">
        <v>1270000</v>
      </c>
      <c r="D47" s="4">
        <v>1300000</v>
      </c>
      <c r="E47" s="6">
        <f>Table3[[#This Row],[Sales]]/Table3[[#This Row],[Target]]</f>
        <v>0.97692307692307689</v>
      </c>
      <c r="F47" s="12" t="str">
        <f>IF(Table3[[#This Row],[Target_Achievement]]&gt;100%,"Target Achieved","Below Target")</f>
        <v>Below Target</v>
      </c>
    </row>
    <row r="48" spans="1:6" x14ac:dyDescent="0.25">
      <c r="A48" s="2" t="s">
        <v>45</v>
      </c>
      <c r="B48" s="2" t="s">
        <v>18</v>
      </c>
      <c r="C48" s="4">
        <v>1120000</v>
      </c>
      <c r="D48" s="4">
        <v>1200000</v>
      </c>
      <c r="E48" s="6">
        <f>Table3[[#This Row],[Sales]]/Table3[[#This Row],[Target]]</f>
        <v>0.93333333333333335</v>
      </c>
      <c r="F48" s="12" t="str">
        <f>IF(Table3[[#This Row],[Target_Achievement]]&gt;100%,"Target Achieved","Below Target")</f>
        <v>Below Target</v>
      </c>
    </row>
    <row r="49" spans="1:6" x14ac:dyDescent="0.25">
      <c r="A49" s="2" t="s">
        <v>32</v>
      </c>
      <c r="B49" s="2" t="s">
        <v>16</v>
      </c>
      <c r="C49" s="4">
        <v>870000</v>
      </c>
      <c r="D49" s="4">
        <v>900000</v>
      </c>
      <c r="E49" s="6">
        <f>Table3[[#This Row],[Sales]]/Table3[[#This Row],[Target]]</f>
        <v>0.96666666666666667</v>
      </c>
      <c r="F49" s="12" t="str">
        <f>IF(Table3[[#This Row],[Target_Achievement]]&gt;100%,"Target Achieved","Below Target")</f>
        <v>Below Target</v>
      </c>
    </row>
    <row r="50" spans="1:6" x14ac:dyDescent="0.25">
      <c r="A50" s="2" t="s">
        <v>37</v>
      </c>
      <c r="B50" s="2" t="s">
        <v>36</v>
      </c>
      <c r="C50" s="4">
        <v>1100000</v>
      </c>
      <c r="D50" s="4">
        <v>850000</v>
      </c>
      <c r="E50" s="6">
        <f>Table3[[#This Row],[Sales]]/Table3[[#This Row],[Target]]</f>
        <v>1.2941176470588236</v>
      </c>
      <c r="F50" s="12" t="str">
        <f>IF(Table3[[#This Row],[Target_Achievement]]&gt;100%,"Target Achieved","Below Target")</f>
        <v>Target Achieved</v>
      </c>
    </row>
    <row r="51" spans="1:6" x14ac:dyDescent="0.25">
      <c r="A51" s="2" t="s">
        <v>15</v>
      </c>
      <c r="B51" s="2" t="s">
        <v>46</v>
      </c>
      <c r="C51" s="4">
        <v>1000000</v>
      </c>
      <c r="D51" s="4">
        <v>1250000</v>
      </c>
      <c r="E51" s="6">
        <f>Table3[[#This Row],[Sales]]/Table3[[#This Row],[Target]]</f>
        <v>0.8</v>
      </c>
      <c r="F51" s="12" t="str">
        <f>IF(Table3[[#This Row],[Target_Achievement]]&gt;100%,"Target Achieved","Below Target")</f>
        <v>Below Target</v>
      </c>
    </row>
    <row r="52" spans="1:6" x14ac:dyDescent="0.25">
      <c r="A52" s="2" t="s">
        <v>8</v>
      </c>
      <c r="B52" s="2" t="s">
        <v>21</v>
      </c>
      <c r="C52" s="4">
        <v>1330000</v>
      </c>
      <c r="D52" s="4">
        <v>1050000</v>
      </c>
      <c r="E52" s="6">
        <f>Table3[[#This Row],[Sales]]/Table3[[#This Row],[Target]]</f>
        <v>1.2666666666666666</v>
      </c>
      <c r="F52" s="12" t="str">
        <f>IF(Table3[[#This Row],[Target_Achievement]]&gt;100%,"Target Achieved","Below Target")</f>
        <v>Target Achieved</v>
      </c>
    </row>
    <row r="53" spans="1:6" x14ac:dyDescent="0.25">
      <c r="A53" s="2" t="s">
        <v>38</v>
      </c>
      <c r="B53" s="2" t="s">
        <v>5</v>
      </c>
      <c r="C53" s="4">
        <v>620000</v>
      </c>
      <c r="D53" s="4">
        <v>850000</v>
      </c>
      <c r="E53" s="6">
        <f>Table3[[#This Row],[Sales]]/Table3[[#This Row],[Target]]</f>
        <v>0.72941176470588232</v>
      </c>
      <c r="F53" s="12" t="str">
        <f>IF(Table3[[#This Row],[Target_Achievement]]&gt;100%,"Target Achieved","Below Target")</f>
        <v>Below Target</v>
      </c>
    </row>
    <row r="54" spans="1:6" x14ac:dyDescent="0.25">
      <c r="A54" s="2" t="s">
        <v>19</v>
      </c>
      <c r="B54" s="2" t="s">
        <v>11</v>
      </c>
      <c r="C54" s="4">
        <v>1140000</v>
      </c>
      <c r="D54" s="4">
        <v>1150000</v>
      </c>
      <c r="E54" s="6">
        <f>Table3[[#This Row],[Sales]]/Table3[[#This Row],[Target]]</f>
        <v>0.99130434782608701</v>
      </c>
      <c r="F54" s="12" t="str">
        <f>IF(Table3[[#This Row],[Target_Achievement]]&gt;100%,"Target Achieved","Below Target")</f>
        <v>Below Target</v>
      </c>
    </row>
    <row r="55" spans="1:6" x14ac:dyDescent="0.25">
      <c r="A55" s="2" t="s">
        <v>13</v>
      </c>
      <c r="B55" s="2" t="s">
        <v>7</v>
      </c>
      <c r="C55" s="4">
        <v>420000</v>
      </c>
      <c r="D55" s="4">
        <v>700000</v>
      </c>
      <c r="E55" s="6">
        <f>Table3[[#This Row],[Sales]]/Table3[[#This Row],[Target]]</f>
        <v>0.6</v>
      </c>
      <c r="F55" s="12" t="str">
        <f>IF(Table3[[#This Row],[Target_Achievement]]&gt;100%,"Target Achieved","Below Target")</f>
        <v>Below Target</v>
      </c>
    </row>
    <row r="56" spans="1:6" x14ac:dyDescent="0.25">
      <c r="A56" s="2" t="s">
        <v>4</v>
      </c>
      <c r="B56" s="2" t="s">
        <v>27</v>
      </c>
      <c r="C56" s="4">
        <v>510000</v>
      </c>
      <c r="D56" s="4">
        <v>850000</v>
      </c>
      <c r="E56" s="6">
        <f>Table3[[#This Row],[Sales]]/Table3[[#This Row],[Target]]</f>
        <v>0.6</v>
      </c>
      <c r="F56" s="12" t="str">
        <f>IF(Table3[[#This Row],[Target_Achievement]]&gt;100%,"Target Achieved","Below Target")</f>
        <v>Below Target</v>
      </c>
    </row>
    <row r="57" spans="1:6" x14ac:dyDescent="0.25">
      <c r="A57" s="2" t="s">
        <v>10</v>
      </c>
      <c r="B57" s="2" t="s">
        <v>34</v>
      </c>
      <c r="C57" s="4">
        <v>720000</v>
      </c>
      <c r="D57" s="4">
        <v>750000</v>
      </c>
      <c r="E57" s="6">
        <f>Table3[[#This Row],[Sales]]/Table3[[#This Row],[Target]]</f>
        <v>0.96</v>
      </c>
      <c r="F57" s="12" t="str">
        <f>IF(Table3[[#This Row],[Target_Achievement]]&gt;100%,"Target Achieved","Below Target")</f>
        <v>Below Target</v>
      </c>
    </row>
    <row r="58" spans="1:6" x14ac:dyDescent="0.25">
      <c r="A58" s="2" t="s">
        <v>17</v>
      </c>
      <c r="B58" s="2" t="s">
        <v>43</v>
      </c>
      <c r="C58" s="4">
        <v>830000</v>
      </c>
      <c r="D58" s="4">
        <v>850000</v>
      </c>
      <c r="E58" s="6">
        <f>Table3[[#This Row],[Sales]]/Table3[[#This Row],[Target]]</f>
        <v>0.97647058823529409</v>
      </c>
      <c r="F58" s="12" t="str">
        <f>IF(Table3[[#This Row],[Target_Achievement]]&gt;100%,"Target Achieved","Below Target")</f>
        <v>Below Target</v>
      </c>
    </row>
    <row r="59" spans="1:6" x14ac:dyDescent="0.25">
      <c r="A59" s="2" t="s">
        <v>47</v>
      </c>
      <c r="B59" s="2" t="s">
        <v>43</v>
      </c>
      <c r="C59" s="4">
        <v>1000000</v>
      </c>
      <c r="D59" s="4">
        <v>850000</v>
      </c>
      <c r="E59" s="6">
        <f>Table3[[#This Row],[Sales]]/Table3[[#This Row],[Target]]</f>
        <v>1.1764705882352942</v>
      </c>
      <c r="F59" s="12" t="str">
        <f>IF(Table3[[#This Row],[Target_Achievement]]&gt;100%,"Target Achieved","Below Target")</f>
        <v>Target Achieved</v>
      </c>
    </row>
    <row r="60" spans="1:6" x14ac:dyDescent="0.25">
      <c r="A60" s="2" t="s">
        <v>33</v>
      </c>
      <c r="B60" s="2" t="s">
        <v>36</v>
      </c>
      <c r="C60" s="4">
        <v>530000</v>
      </c>
      <c r="D60" s="4">
        <v>850000</v>
      </c>
      <c r="E60" s="6">
        <f>Table3[[#This Row],[Sales]]/Table3[[#This Row],[Target]]</f>
        <v>0.62352941176470589</v>
      </c>
      <c r="F60" s="12" t="str">
        <f>IF(Table3[[#This Row],[Target_Achievement]]&gt;100%,"Target Achieved","Below Target")</f>
        <v>Below Target</v>
      </c>
    </row>
    <row r="61" spans="1:6" x14ac:dyDescent="0.25">
      <c r="A61" s="2" t="s">
        <v>8</v>
      </c>
      <c r="B61" s="2" t="s">
        <v>36</v>
      </c>
      <c r="C61" s="4">
        <v>840000</v>
      </c>
      <c r="D61" s="4">
        <v>950000</v>
      </c>
      <c r="E61" s="6">
        <f>Table3[[#This Row],[Sales]]/Table3[[#This Row],[Target]]</f>
        <v>0.88421052631578945</v>
      </c>
      <c r="F61" s="12" t="str">
        <f>IF(Table3[[#This Row],[Target_Achievement]]&gt;100%,"Target Achieved","Below Target")</f>
        <v>Below Target</v>
      </c>
    </row>
    <row r="62" spans="1:6" x14ac:dyDescent="0.25">
      <c r="A62" s="2" t="s">
        <v>38</v>
      </c>
      <c r="B62" s="2" t="s">
        <v>27</v>
      </c>
      <c r="C62" s="4">
        <v>1290000</v>
      </c>
      <c r="D62" s="4">
        <v>1200000</v>
      </c>
      <c r="E62" s="6">
        <f>Table3[[#This Row],[Sales]]/Table3[[#This Row],[Target]]</f>
        <v>1.075</v>
      </c>
      <c r="F62" s="12" t="str">
        <f>IF(Table3[[#This Row],[Target_Achievement]]&gt;100%,"Target Achieved","Below Target")</f>
        <v>Target Achieved</v>
      </c>
    </row>
    <row r="63" spans="1:6" x14ac:dyDescent="0.25">
      <c r="A63" s="2" t="s">
        <v>4</v>
      </c>
      <c r="B63" s="2" t="s">
        <v>5</v>
      </c>
      <c r="C63" s="4">
        <v>610000</v>
      </c>
      <c r="D63" s="4">
        <v>700000</v>
      </c>
      <c r="E63" s="6">
        <f>Table3[[#This Row],[Sales]]/Table3[[#This Row],[Target]]</f>
        <v>0.87142857142857144</v>
      </c>
      <c r="F63" s="12" t="str">
        <f>IF(Table3[[#This Row],[Target_Achievement]]&gt;100%,"Target Achieved","Below Target")</f>
        <v>Below Target</v>
      </c>
    </row>
    <row r="64" spans="1:6" x14ac:dyDescent="0.25">
      <c r="A64" s="2" t="s">
        <v>19</v>
      </c>
      <c r="B64" s="2" t="s">
        <v>5</v>
      </c>
      <c r="C64" s="4">
        <v>600000</v>
      </c>
      <c r="D64" s="4">
        <v>850000</v>
      </c>
      <c r="E64" s="6">
        <f>Table3[[#This Row],[Sales]]/Table3[[#This Row],[Target]]</f>
        <v>0.70588235294117652</v>
      </c>
      <c r="F64" s="12" t="str">
        <f>IF(Table3[[#This Row],[Target_Achievement]]&gt;100%,"Target Achieved","Below Target")</f>
        <v>Below Target</v>
      </c>
    </row>
    <row r="65" spans="1:6" x14ac:dyDescent="0.25">
      <c r="A65" s="2" t="s">
        <v>32</v>
      </c>
      <c r="B65" s="2" t="s">
        <v>22</v>
      </c>
      <c r="C65" s="4">
        <v>710000</v>
      </c>
      <c r="D65" s="4">
        <v>800000</v>
      </c>
      <c r="E65" s="6">
        <f>Table3[[#This Row],[Sales]]/Table3[[#This Row],[Target]]</f>
        <v>0.88749999999999996</v>
      </c>
      <c r="F65" s="12" t="str">
        <f>IF(Table3[[#This Row],[Target_Achievement]]&gt;100%,"Target Achieved","Below Target")</f>
        <v>Below Target</v>
      </c>
    </row>
    <row r="66" spans="1:6" x14ac:dyDescent="0.25">
      <c r="A66" s="2" t="s">
        <v>17</v>
      </c>
      <c r="B66" s="2" t="s">
        <v>22</v>
      </c>
      <c r="C66" s="4">
        <v>1060000</v>
      </c>
      <c r="D66" s="4">
        <v>850000</v>
      </c>
      <c r="E66" s="6">
        <f>Table3[[#This Row],[Sales]]/Table3[[#This Row],[Target]]</f>
        <v>1.2470588235294118</v>
      </c>
      <c r="F66" s="12" t="str">
        <f>IF(Table3[[#This Row],[Target_Achievement]]&gt;100%,"Target Achieved","Below Target")</f>
        <v>Target Achieved</v>
      </c>
    </row>
    <row r="67" spans="1:6" x14ac:dyDescent="0.25">
      <c r="A67" s="2" t="s">
        <v>26</v>
      </c>
      <c r="B67" s="2" t="s">
        <v>22</v>
      </c>
      <c r="C67" s="4">
        <v>1610000</v>
      </c>
      <c r="D67" s="4">
        <v>1300000</v>
      </c>
      <c r="E67" s="6">
        <f>Table3[[#This Row],[Sales]]/Table3[[#This Row],[Target]]</f>
        <v>1.2384615384615385</v>
      </c>
      <c r="F67" s="12" t="str">
        <f>IF(Table3[[#This Row],[Target_Achievement]]&gt;100%,"Target Achieved","Below Target")</f>
        <v>Target Achieved</v>
      </c>
    </row>
    <row r="68" spans="1:6" x14ac:dyDescent="0.25">
      <c r="A68" s="2" t="s">
        <v>32</v>
      </c>
      <c r="B68" s="2" t="s">
        <v>5</v>
      </c>
      <c r="C68" s="4">
        <v>750000</v>
      </c>
      <c r="D68" s="4">
        <v>700000</v>
      </c>
      <c r="E68" s="6">
        <f>Table3[[#This Row],[Sales]]/Table3[[#This Row],[Target]]</f>
        <v>1.0714285714285714</v>
      </c>
      <c r="F68" s="12" t="str">
        <f>IF(Table3[[#This Row],[Target_Achievement]]&gt;100%,"Target Achieved","Below Target")</f>
        <v>Target Achieved</v>
      </c>
    </row>
    <row r="69" spans="1:6" x14ac:dyDescent="0.25">
      <c r="A69" s="2" t="s">
        <v>32</v>
      </c>
      <c r="B69" s="2" t="s">
        <v>11</v>
      </c>
      <c r="C69" s="4">
        <v>970000</v>
      </c>
      <c r="D69" s="4">
        <v>750000</v>
      </c>
      <c r="E69" s="6">
        <f>Table3[[#This Row],[Sales]]/Table3[[#This Row],[Target]]</f>
        <v>1.2933333333333332</v>
      </c>
      <c r="F69" s="12" t="str">
        <f>IF(Table3[[#This Row],[Target_Achievement]]&gt;100%,"Target Achieved","Below Target")</f>
        <v>Target Achieved</v>
      </c>
    </row>
    <row r="70" spans="1:6" x14ac:dyDescent="0.25">
      <c r="A70" s="2" t="s">
        <v>40</v>
      </c>
      <c r="B70" s="2" t="s">
        <v>7</v>
      </c>
      <c r="C70" s="4">
        <v>700000</v>
      </c>
      <c r="D70" s="4">
        <v>800000</v>
      </c>
      <c r="E70" s="6">
        <f>Table3[[#This Row],[Sales]]/Table3[[#This Row],[Target]]</f>
        <v>0.875</v>
      </c>
      <c r="F70" s="12" t="str">
        <f>IF(Table3[[#This Row],[Target_Achievement]]&gt;100%,"Target Achieved","Below Target")</f>
        <v>Below Target</v>
      </c>
    </row>
    <row r="71" spans="1:6" x14ac:dyDescent="0.25">
      <c r="A71" s="2" t="s">
        <v>48</v>
      </c>
      <c r="B71" s="2" t="s">
        <v>46</v>
      </c>
      <c r="C71" s="4">
        <v>1180000</v>
      </c>
      <c r="D71" s="4">
        <v>1350000</v>
      </c>
      <c r="E71" s="6">
        <f>Table3[[#This Row],[Sales]]/Table3[[#This Row],[Target]]</f>
        <v>0.87407407407407411</v>
      </c>
      <c r="F71" s="12" t="str">
        <f>IF(Table3[[#This Row],[Target_Achievement]]&gt;100%,"Target Achieved","Below Target")</f>
        <v>Below Target</v>
      </c>
    </row>
    <row r="72" spans="1:6" x14ac:dyDescent="0.25">
      <c r="A72" s="2" t="s">
        <v>10</v>
      </c>
      <c r="B72" s="2" t="s">
        <v>16</v>
      </c>
      <c r="C72" s="4">
        <v>550000</v>
      </c>
      <c r="D72" s="4">
        <v>1000000</v>
      </c>
      <c r="E72" s="6">
        <f>Table3[[#This Row],[Sales]]/Table3[[#This Row],[Target]]</f>
        <v>0.55000000000000004</v>
      </c>
      <c r="F72" s="12" t="str">
        <f>IF(Table3[[#This Row],[Target_Achievement]]&gt;100%,"Target Achieved","Below Target")</f>
        <v>Below Target</v>
      </c>
    </row>
    <row r="73" spans="1:6" x14ac:dyDescent="0.25">
      <c r="A73" s="2" t="s">
        <v>35</v>
      </c>
      <c r="B73" s="2" t="s">
        <v>14</v>
      </c>
      <c r="C73" s="4">
        <v>1650000</v>
      </c>
      <c r="D73" s="4">
        <v>1400000</v>
      </c>
      <c r="E73" s="6">
        <f>Table3[[#This Row],[Sales]]/Table3[[#This Row],[Target]]</f>
        <v>1.1785714285714286</v>
      </c>
      <c r="F73" s="12" t="str">
        <f>IF(Table3[[#This Row],[Target_Achievement]]&gt;100%,"Target Achieved","Below Target")</f>
        <v>Target Achieved</v>
      </c>
    </row>
    <row r="74" spans="1:6" x14ac:dyDescent="0.25">
      <c r="A74" s="2" t="s">
        <v>38</v>
      </c>
      <c r="B74" s="2" t="s">
        <v>44</v>
      </c>
      <c r="C74" s="4">
        <v>1110000</v>
      </c>
      <c r="D74" s="4">
        <v>1000000</v>
      </c>
      <c r="E74" s="6">
        <f>Table3[[#This Row],[Sales]]/Table3[[#This Row],[Target]]</f>
        <v>1.1100000000000001</v>
      </c>
      <c r="F74" s="12" t="str">
        <f>IF(Table3[[#This Row],[Target_Achievement]]&gt;100%,"Target Achieved","Below Target")</f>
        <v>Target Achieved</v>
      </c>
    </row>
    <row r="75" spans="1:6" x14ac:dyDescent="0.25">
      <c r="A75" s="2" t="s">
        <v>47</v>
      </c>
      <c r="B75" s="2" t="s">
        <v>9</v>
      </c>
      <c r="C75" s="4">
        <v>1350000</v>
      </c>
      <c r="D75" s="4">
        <v>1200000</v>
      </c>
      <c r="E75" s="6">
        <f>Table3[[#This Row],[Sales]]/Table3[[#This Row],[Target]]</f>
        <v>1.125</v>
      </c>
      <c r="F75" s="12" t="str">
        <f>IF(Table3[[#This Row],[Target_Achievement]]&gt;100%,"Target Achieved","Below Target")</f>
        <v>Target Achieved</v>
      </c>
    </row>
    <row r="76" spans="1:6" x14ac:dyDescent="0.25">
      <c r="A76" s="2" t="s">
        <v>45</v>
      </c>
      <c r="B76" s="2" t="s">
        <v>46</v>
      </c>
      <c r="C76" s="4">
        <v>650000</v>
      </c>
      <c r="D76" s="4">
        <v>900000</v>
      </c>
      <c r="E76" s="6">
        <f>Table3[[#This Row],[Sales]]/Table3[[#This Row],[Target]]</f>
        <v>0.72222222222222221</v>
      </c>
      <c r="F76" s="12" t="str">
        <f>IF(Table3[[#This Row],[Target_Achievement]]&gt;100%,"Target Achieved","Below Target")</f>
        <v>Below Target</v>
      </c>
    </row>
    <row r="77" spans="1:6" x14ac:dyDescent="0.25">
      <c r="A77" s="2" t="s">
        <v>10</v>
      </c>
      <c r="B77" s="2" t="s">
        <v>9</v>
      </c>
      <c r="C77" s="4">
        <v>800000</v>
      </c>
      <c r="D77" s="4">
        <v>700000</v>
      </c>
      <c r="E77" s="6">
        <f>Table3[[#This Row],[Sales]]/Table3[[#This Row],[Target]]</f>
        <v>1.1428571428571428</v>
      </c>
      <c r="F77" s="12" t="str">
        <f>IF(Table3[[#This Row],[Target_Achievement]]&gt;100%,"Target Achieved","Below Target")</f>
        <v>Target Achieved</v>
      </c>
    </row>
    <row r="78" spans="1:6" x14ac:dyDescent="0.25">
      <c r="A78" s="2" t="s">
        <v>10</v>
      </c>
      <c r="B78" s="2" t="s">
        <v>27</v>
      </c>
      <c r="C78" s="4">
        <v>1070000</v>
      </c>
      <c r="D78" s="4">
        <v>1150000</v>
      </c>
      <c r="E78" s="6">
        <f>Table3[[#This Row],[Sales]]/Table3[[#This Row],[Target]]</f>
        <v>0.93043478260869561</v>
      </c>
      <c r="F78" s="12" t="str">
        <f>IF(Table3[[#This Row],[Target_Achievement]]&gt;100%,"Target Achieved","Below Target")</f>
        <v>Below Target</v>
      </c>
    </row>
    <row r="79" spans="1:6" x14ac:dyDescent="0.25">
      <c r="A79" s="2" t="s">
        <v>23</v>
      </c>
      <c r="B79" s="2" t="s">
        <v>39</v>
      </c>
      <c r="C79" s="4">
        <v>480000</v>
      </c>
      <c r="D79" s="4">
        <v>800000</v>
      </c>
      <c r="E79" s="6">
        <f>Table3[[#This Row],[Sales]]/Table3[[#This Row],[Target]]</f>
        <v>0.6</v>
      </c>
      <c r="F79" s="12" t="str">
        <f>IF(Table3[[#This Row],[Target_Achievement]]&gt;100%,"Target Achieved","Below Target")</f>
        <v>Below Target</v>
      </c>
    </row>
    <row r="80" spans="1:6" x14ac:dyDescent="0.25">
      <c r="A80" s="2" t="s">
        <v>12</v>
      </c>
      <c r="B80" s="2" t="s">
        <v>29</v>
      </c>
      <c r="C80" s="4">
        <v>940000</v>
      </c>
      <c r="D80" s="4">
        <v>1350000</v>
      </c>
      <c r="E80" s="6">
        <f>Table3[[#This Row],[Sales]]/Table3[[#This Row],[Target]]</f>
        <v>0.6962962962962963</v>
      </c>
      <c r="F80" s="12" t="str">
        <f>IF(Table3[[#This Row],[Target_Achievement]]&gt;100%,"Target Achieved","Below Target")</f>
        <v>Below Target</v>
      </c>
    </row>
    <row r="81" spans="1:6" x14ac:dyDescent="0.25">
      <c r="A81" s="2" t="s">
        <v>37</v>
      </c>
      <c r="B81" s="2" t="s">
        <v>29</v>
      </c>
      <c r="C81" s="4">
        <v>1490000</v>
      </c>
      <c r="D81" s="4">
        <v>1200000</v>
      </c>
      <c r="E81" s="6">
        <f>Table3[[#This Row],[Sales]]/Table3[[#This Row],[Target]]</f>
        <v>1.2416666666666667</v>
      </c>
      <c r="F81" s="12" t="str">
        <f>IF(Table3[[#This Row],[Target_Achievement]]&gt;100%,"Target Achieved","Below Target")</f>
        <v>Target Achieved</v>
      </c>
    </row>
    <row r="82" spans="1:6" x14ac:dyDescent="0.25">
      <c r="A82" s="2" t="s">
        <v>35</v>
      </c>
      <c r="B82" s="2" t="s">
        <v>5</v>
      </c>
      <c r="C82" s="4">
        <v>1410000</v>
      </c>
      <c r="D82" s="4">
        <v>1400000</v>
      </c>
      <c r="E82" s="6">
        <f>Table3[[#This Row],[Sales]]/Table3[[#This Row],[Target]]</f>
        <v>1.0071428571428571</v>
      </c>
      <c r="F82" s="12" t="str">
        <f>IF(Table3[[#This Row],[Target_Achievement]]&gt;100%,"Target Achieved","Below Target")</f>
        <v>Target Achieved</v>
      </c>
    </row>
    <row r="83" spans="1:6" x14ac:dyDescent="0.25">
      <c r="A83" s="2" t="s">
        <v>13</v>
      </c>
      <c r="B83" s="2" t="s">
        <v>27</v>
      </c>
      <c r="C83" s="4">
        <v>710000</v>
      </c>
      <c r="D83" s="4">
        <v>1150000</v>
      </c>
      <c r="E83" s="6">
        <f>Table3[[#This Row],[Sales]]/Table3[[#This Row],[Target]]</f>
        <v>0.61739130434782608</v>
      </c>
      <c r="F83" s="12" t="str">
        <f>IF(Table3[[#This Row],[Target_Achievement]]&gt;100%,"Target Achieved","Below Target")</f>
        <v>Below Target</v>
      </c>
    </row>
    <row r="84" spans="1:6" x14ac:dyDescent="0.25">
      <c r="A84" s="2" t="s">
        <v>8</v>
      </c>
      <c r="B84" s="2" t="s">
        <v>39</v>
      </c>
      <c r="C84" s="4">
        <v>1230000</v>
      </c>
      <c r="D84" s="4">
        <v>950000</v>
      </c>
      <c r="E84" s="6">
        <f>Table3[[#This Row],[Sales]]/Table3[[#This Row],[Target]]</f>
        <v>1.2947368421052632</v>
      </c>
      <c r="F84" s="12" t="str">
        <f>IF(Table3[[#This Row],[Target_Achievement]]&gt;100%,"Target Achieved","Below Target")</f>
        <v>Target Achieved</v>
      </c>
    </row>
    <row r="85" spans="1:6" x14ac:dyDescent="0.25">
      <c r="A85" s="2" t="s">
        <v>31</v>
      </c>
      <c r="B85" s="2" t="s">
        <v>34</v>
      </c>
      <c r="C85" s="4">
        <v>650000</v>
      </c>
      <c r="D85" s="4">
        <v>850000</v>
      </c>
      <c r="E85" s="6">
        <f>Table3[[#This Row],[Sales]]/Table3[[#This Row],[Target]]</f>
        <v>0.76470588235294112</v>
      </c>
      <c r="F85" s="12" t="str">
        <f>IF(Table3[[#This Row],[Target_Achievement]]&gt;100%,"Target Achieved","Below Target")</f>
        <v>Below Target</v>
      </c>
    </row>
    <row r="86" spans="1:6" x14ac:dyDescent="0.25">
      <c r="A86" s="2" t="s">
        <v>45</v>
      </c>
      <c r="B86" s="2" t="s">
        <v>44</v>
      </c>
      <c r="C86" s="4">
        <v>840000</v>
      </c>
      <c r="D86" s="4">
        <v>1050000</v>
      </c>
      <c r="E86" s="6">
        <f>Table3[[#This Row],[Sales]]/Table3[[#This Row],[Target]]</f>
        <v>0.8</v>
      </c>
      <c r="F86" s="12" t="str">
        <f>IF(Table3[[#This Row],[Target_Achievement]]&gt;100%,"Target Achieved","Below Target")</f>
        <v>Below Target</v>
      </c>
    </row>
    <row r="87" spans="1:6" x14ac:dyDescent="0.25">
      <c r="A87" s="2" t="s">
        <v>15</v>
      </c>
      <c r="B87" s="2" t="s">
        <v>29</v>
      </c>
      <c r="C87" s="4">
        <v>640000</v>
      </c>
      <c r="D87" s="4">
        <v>700000</v>
      </c>
      <c r="E87" s="6">
        <f>Table3[[#This Row],[Sales]]/Table3[[#This Row],[Target]]</f>
        <v>0.91428571428571426</v>
      </c>
      <c r="F87" s="12" t="str">
        <f>IF(Table3[[#This Row],[Target_Achievement]]&gt;100%,"Target Achieved","Below Target")</f>
        <v>Below Target</v>
      </c>
    </row>
    <row r="88" spans="1:6" x14ac:dyDescent="0.25">
      <c r="A88" s="2" t="s">
        <v>13</v>
      </c>
      <c r="B88" s="2" t="s">
        <v>5</v>
      </c>
      <c r="C88" s="4">
        <v>740000</v>
      </c>
      <c r="D88" s="4">
        <v>750000</v>
      </c>
      <c r="E88" s="6">
        <f>Table3[[#This Row],[Sales]]/Table3[[#This Row],[Target]]</f>
        <v>0.98666666666666669</v>
      </c>
      <c r="F88" s="12" t="str">
        <f>IF(Table3[[#This Row],[Target_Achievement]]&gt;100%,"Target Achieved","Below Target")</f>
        <v>Below Target</v>
      </c>
    </row>
    <row r="89" spans="1:6" x14ac:dyDescent="0.25">
      <c r="A89" s="2" t="s">
        <v>12</v>
      </c>
      <c r="B89" s="2" t="s">
        <v>14</v>
      </c>
      <c r="C89" s="4">
        <v>1040000</v>
      </c>
      <c r="D89" s="4">
        <v>800000</v>
      </c>
      <c r="E89" s="6">
        <f>Table3[[#This Row],[Sales]]/Table3[[#This Row],[Target]]</f>
        <v>1.3</v>
      </c>
      <c r="F89" s="12" t="str">
        <f>IF(Table3[[#This Row],[Target_Achievement]]&gt;100%,"Target Achieved","Below Target")</f>
        <v>Target Achieved</v>
      </c>
    </row>
    <row r="90" spans="1:6" x14ac:dyDescent="0.25">
      <c r="A90" s="2" t="s">
        <v>42</v>
      </c>
      <c r="B90" s="2" t="s">
        <v>29</v>
      </c>
      <c r="C90" s="4">
        <v>1040000</v>
      </c>
      <c r="D90" s="4">
        <v>1400000</v>
      </c>
      <c r="E90" s="6">
        <f>Table3[[#This Row],[Sales]]/Table3[[#This Row],[Target]]</f>
        <v>0.74285714285714288</v>
      </c>
      <c r="F90" s="12" t="str">
        <f>IF(Table3[[#This Row],[Target_Achievement]]&gt;100%,"Target Achieved","Below Target")</f>
        <v>Below Target</v>
      </c>
    </row>
    <row r="91" spans="1:6" x14ac:dyDescent="0.25">
      <c r="A91" s="2" t="s">
        <v>28</v>
      </c>
      <c r="B91" s="2" t="s">
        <v>16</v>
      </c>
      <c r="C91" s="4">
        <v>1280000</v>
      </c>
      <c r="D91" s="4">
        <v>1050000</v>
      </c>
      <c r="E91" s="6">
        <f>Table3[[#This Row],[Sales]]/Table3[[#This Row],[Target]]</f>
        <v>1.2190476190476192</v>
      </c>
      <c r="F91" s="12" t="str">
        <f>IF(Table3[[#This Row],[Target_Achievement]]&gt;100%,"Target Achieved","Below Target")</f>
        <v>Target Achieved</v>
      </c>
    </row>
    <row r="92" spans="1:6" x14ac:dyDescent="0.25">
      <c r="A92" s="2" t="s">
        <v>49</v>
      </c>
      <c r="B92" s="2" t="s">
        <v>44</v>
      </c>
      <c r="C92" s="4">
        <v>1540000</v>
      </c>
      <c r="D92" s="4">
        <v>1150000</v>
      </c>
      <c r="E92" s="6">
        <f>Table3[[#This Row],[Sales]]/Table3[[#This Row],[Target]]</f>
        <v>1.3391304347826087</v>
      </c>
      <c r="F92" s="12" t="str">
        <f>IF(Table3[[#This Row],[Target_Achievement]]&gt;100%,"Target Achieved","Below Target")</f>
        <v>Target Achieved</v>
      </c>
    </row>
    <row r="93" spans="1:6" x14ac:dyDescent="0.25">
      <c r="A93" s="2" t="s">
        <v>33</v>
      </c>
      <c r="B93" s="2" t="s">
        <v>39</v>
      </c>
      <c r="C93" s="4">
        <v>760000</v>
      </c>
      <c r="D93" s="4">
        <v>700000</v>
      </c>
      <c r="E93" s="6">
        <f>Table3[[#This Row],[Sales]]/Table3[[#This Row],[Target]]</f>
        <v>1.0857142857142856</v>
      </c>
      <c r="F93" s="12" t="str">
        <f>IF(Table3[[#This Row],[Target_Achievement]]&gt;100%,"Target Achieved","Below Target")</f>
        <v>Target Achieved</v>
      </c>
    </row>
    <row r="94" spans="1:6" x14ac:dyDescent="0.25">
      <c r="A94" s="2" t="s">
        <v>32</v>
      </c>
      <c r="B94" s="2" t="s">
        <v>44</v>
      </c>
      <c r="C94" s="4">
        <v>1510000</v>
      </c>
      <c r="D94" s="4">
        <v>1400000</v>
      </c>
      <c r="E94" s="6">
        <f>Table3[[#This Row],[Sales]]/Table3[[#This Row],[Target]]</f>
        <v>1.0785714285714285</v>
      </c>
      <c r="F94" s="12" t="str">
        <f>IF(Table3[[#This Row],[Target_Achievement]]&gt;100%,"Target Achieved","Below Target")</f>
        <v>Target Achieved</v>
      </c>
    </row>
    <row r="95" spans="1:6" x14ac:dyDescent="0.25">
      <c r="A95" s="2" t="s">
        <v>42</v>
      </c>
      <c r="B95" s="2" t="s">
        <v>18</v>
      </c>
      <c r="C95" s="4">
        <v>580000</v>
      </c>
      <c r="D95" s="4">
        <v>900000</v>
      </c>
      <c r="E95" s="6">
        <f>Table3[[#This Row],[Sales]]/Table3[[#This Row],[Target]]</f>
        <v>0.64444444444444449</v>
      </c>
      <c r="F95" s="12" t="str">
        <f>IF(Table3[[#This Row],[Target_Achievement]]&gt;100%,"Target Achieved","Below Target")</f>
        <v>Below Target</v>
      </c>
    </row>
    <row r="96" spans="1:6" x14ac:dyDescent="0.25">
      <c r="A96" s="2" t="s">
        <v>30</v>
      </c>
      <c r="B96" s="2" t="s">
        <v>9</v>
      </c>
      <c r="C96" s="4">
        <v>610000</v>
      </c>
      <c r="D96" s="4">
        <v>800000</v>
      </c>
      <c r="E96" s="6">
        <f>Table3[[#This Row],[Sales]]/Table3[[#This Row],[Target]]</f>
        <v>0.76249999999999996</v>
      </c>
      <c r="F96" s="12" t="str">
        <f>IF(Table3[[#This Row],[Target_Achievement]]&gt;100%,"Target Achieved","Below Target")</f>
        <v>Below Target</v>
      </c>
    </row>
    <row r="97" spans="1:6" x14ac:dyDescent="0.25">
      <c r="A97" s="2" t="s">
        <v>37</v>
      </c>
      <c r="B97" s="2" t="s">
        <v>46</v>
      </c>
      <c r="C97" s="4">
        <v>1030000</v>
      </c>
      <c r="D97" s="4">
        <v>1250000</v>
      </c>
      <c r="E97" s="6">
        <f>Table3[[#This Row],[Sales]]/Table3[[#This Row],[Target]]</f>
        <v>0.82399999999999995</v>
      </c>
      <c r="F97" s="12" t="str">
        <f>IF(Table3[[#This Row],[Target_Achievement]]&gt;100%,"Target Achieved","Below Target")</f>
        <v>Below Target</v>
      </c>
    </row>
    <row r="98" spans="1:6" x14ac:dyDescent="0.25">
      <c r="A98" s="2" t="s">
        <v>8</v>
      </c>
      <c r="B98" s="2" t="s">
        <v>14</v>
      </c>
      <c r="C98" s="4">
        <v>1030000</v>
      </c>
      <c r="D98" s="4">
        <v>1100000</v>
      </c>
      <c r="E98" s="6">
        <f>Table3[[#This Row],[Sales]]/Table3[[#This Row],[Target]]</f>
        <v>0.9363636363636364</v>
      </c>
      <c r="F98" s="12" t="str">
        <f>IF(Table3[[#This Row],[Target_Achievement]]&gt;100%,"Target Achieved","Below Target")</f>
        <v>Below Target</v>
      </c>
    </row>
    <row r="99" spans="1:6" x14ac:dyDescent="0.25">
      <c r="A99" s="2" t="s">
        <v>42</v>
      </c>
      <c r="B99" s="2" t="s">
        <v>27</v>
      </c>
      <c r="C99" s="4">
        <v>790000</v>
      </c>
      <c r="D99" s="4">
        <v>750000</v>
      </c>
      <c r="E99" s="6">
        <f>Table3[[#This Row],[Sales]]/Table3[[#This Row],[Target]]</f>
        <v>1.0533333333333332</v>
      </c>
      <c r="F99" s="12" t="str">
        <f>IF(Table3[[#This Row],[Target_Achievement]]&gt;100%,"Target Achieved","Below Target")</f>
        <v>Target Achieved</v>
      </c>
    </row>
    <row r="100" spans="1:6" x14ac:dyDescent="0.25">
      <c r="A100" s="2" t="s">
        <v>25</v>
      </c>
      <c r="B100" s="2" t="s">
        <v>14</v>
      </c>
      <c r="C100" s="4">
        <v>390000</v>
      </c>
      <c r="D100" s="4">
        <v>700000</v>
      </c>
      <c r="E100" s="6">
        <f>Table3[[#This Row],[Sales]]/Table3[[#This Row],[Target]]</f>
        <v>0.55714285714285716</v>
      </c>
      <c r="F100" s="12" t="str">
        <f>IF(Table3[[#This Row],[Target_Achievement]]&gt;100%,"Target Achieved","Below Target")</f>
        <v>Below Target</v>
      </c>
    </row>
    <row r="101" spans="1:6" x14ac:dyDescent="0.25">
      <c r="A101" s="2" t="s">
        <v>15</v>
      </c>
      <c r="B101" s="2" t="s">
        <v>18</v>
      </c>
      <c r="C101" s="4">
        <v>1600000</v>
      </c>
      <c r="D101" s="4">
        <v>1200000</v>
      </c>
      <c r="E101" s="6">
        <f>Table3[[#This Row],[Sales]]/Table3[[#This Row],[Target]]</f>
        <v>1.3333333333333333</v>
      </c>
      <c r="F101" s="12" t="str">
        <f>IF(Table3[[#This Row],[Target_Achievement]]&gt;100%,"Target Achieved","Below Target")</f>
        <v>Target Achieved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E82A5-7536-400F-A93B-C7E96D68396E}">
  <dimension ref="A1:V101"/>
  <sheetViews>
    <sheetView tabSelected="1" workbookViewId="0">
      <selection activeCell="F3" sqref="F3"/>
    </sheetView>
  </sheetViews>
  <sheetFormatPr defaultRowHeight="15" x14ac:dyDescent="0.25"/>
  <cols>
    <col min="1" max="1" width="15.85546875" customWidth="1"/>
    <col min="2" max="2" width="10.42578125" customWidth="1"/>
    <col min="3" max="3" width="18.5703125" style="35" bestFit="1" customWidth="1"/>
    <col min="4" max="4" width="16.140625" style="35" bestFit="1" customWidth="1"/>
    <col min="5" max="5" width="28.42578125" style="7" bestFit="1" customWidth="1"/>
    <col min="6" max="6" width="24.140625" bestFit="1" customWidth="1"/>
    <col min="7" max="7" width="14.140625" bestFit="1" customWidth="1"/>
    <col min="8" max="8" width="16.5703125" style="32" bestFit="1" customWidth="1"/>
    <col min="12" max="12" width="11.7109375" bestFit="1" customWidth="1"/>
    <col min="13" max="14" width="10.5703125" bestFit="1" customWidth="1"/>
    <col min="15" max="15" width="12.85546875" bestFit="1" customWidth="1"/>
    <col min="16" max="16" width="12.7109375" bestFit="1" customWidth="1"/>
    <col min="19" max="19" width="10" bestFit="1" customWidth="1"/>
  </cols>
  <sheetData>
    <row r="1" spans="1:22" x14ac:dyDescent="0.25">
      <c r="A1" s="1" t="s">
        <v>0</v>
      </c>
      <c r="B1" s="1" t="s">
        <v>1</v>
      </c>
      <c r="C1" s="33" t="s">
        <v>2</v>
      </c>
      <c r="D1" s="33" t="s">
        <v>3</v>
      </c>
      <c r="E1" s="14" t="s">
        <v>50</v>
      </c>
      <c r="F1" s="8" t="s">
        <v>51</v>
      </c>
      <c r="G1" s="8" t="s">
        <v>58</v>
      </c>
      <c r="H1" s="30" t="s">
        <v>53</v>
      </c>
      <c r="K1" t="s">
        <v>71</v>
      </c>
    </row>
    <row r="2" spans="1:22" x14ac:dyDescent="0.25">
      <c r="A2" s="2" t="s">
        <v>4</v>
      </c>
      <c r="B2" s="2" t="s">
        <v>5</v>
      </c>
      <c r="C2" s="34">
        <v>800000</v>
      </c>
      <c r="D2" s="34">
        <v>700000</v>
      </c>
      <c r="E2" s="6">
        <f>Table5[[#This Row],[Sales]]/Table5[[#This Row],[Target]]</f>
        <v>1.1428571428571428</v>
      </c>
      <c r="F2" s="6" t="str">
        <f t="shared" ref="F2:F33" si="0">IF(E2&lt;100%,"Below Target",IF(E2=100%,"Target Achieved","Above Target"))</f>
        <v>Above Target</v>
      </c>
      <c r="G2" s="29">
        <f>IF(Table5[[#This Row],[Performance_Status]]="Below Target",0.8,IF(Table5[[#This Row],[Performance_Status]]="Target Achieved",1,1.2))</f>
        <v>1.2</v>
      </c>
      <c r="H2" s="31">
        <f>Table5[[#This Row],[Sales]]*$K$2</f>
        <v>40000</v>
      </c>
      <c r="K2" s="20">
        <v>0.05</v>
      </c>
      <c r="P2" s="17" t="s">
        <v>0</v>
      </c>
      <c r="Q2" s="25" t="s">
        <v>2</v>
      </c>
      <c r="R2" s="25" t="s">
        <v>3</v>
      </c>
      <c r="S2" s="25" t="s">
        <v>59</v>
      </c>
      <c r="T2" s="17" t="s">
        <v>60</v>
      </c>
      <c r="U2" s="25" t="s">
        <v>58</v>
      </c>
      <c r="V2" s="25" t="s">
        <v>53</v>
      </c>
    </row>
    <row r="3" spans="1:22" x14ac:dyDescent="0.25">
      <c r="A3" s="2" t="s">
        <v>6</v>
      </c>
      <c r="B3" s="2" t="s">
        <v>7</v>
      </c>
      <c r="C3" s="34">
        <v>910000</v>
      </c>
      <c r="D3" s="34">
        <v>800000</v>
      </c>
      <c r="E3" s="6">
        <f>Table5[[#This Row],[Sales]]/Table5[[#This Row],[Target]]</f>
        <v>1.1375</v>
      </c>
      <c r="F3" s="6" t="str">
        <f t="shared" si="0"/>
        <v>Above Target</v>
      </c>
      <c r="G3" s="29">
        <f>IF(Table5[[#This Row],[Performance_Status]]="Below Target",0.8,IF(Table5[[#This Row],[Performance_Status]]="Target Achieved",1,1.2))</f>
        <v>1.2</v>
      </c>
      <c r="H3" s="31">
        <f>Table5[[#This Row],[Sales]]*$K$2</f>
        <v>45500</v>
      </c>
      <c r="P3" s="11" t="s">
        <v>48</v>
      </c>
      <c r="Q3" s="26" t="s">
        <v>61</v>
      </c>
      <c r="R3" s="26" t="s">
        <v>62</v>
      </c>
      <c r="S3" s="27">
        <v>0.85</v>
      </c>
      <c r="T3" s="11" t="s">
        <v>54</v>
      </c>
      <c r="U3" s="26">
        <v>0.8</v>
      </c>
      <c r="V3" s="26" t="s">
        <v>63</v>
      </c>
    </row>
    <row r="4" spans="1:22" x14ac:dyDescent="0.25">
      <c r="A4" s="2" t="s">
        <v>8</v>
      </c>
      <c r="B4" s="2" t="s">
        <v>9</v>
      </c>
      <c r="C4" s="34">
        <v>770000</v>
      </c>
      <c r="D4" s="34">
        <v>750000</v>
      </c>
      <c r="E4" s="6">
        <f>Table5[[#This Row],[Sales]]/Table5[[#This Row],[Target]]</f>
        <v>1.0266666666666666</v>
      </c>
      <c r="F4" s="6" t="str">
        <f t="shared" si="0"/>
        <v>Above Target</v>
      </c>
      <c r="G4" s="29">
        <f>IF(Table5[[#This Row],[Performance_Status]]="Below Target",0.8,IF(Table5[[#This Row],[Performance_Status]]="Target Achieved",1,1.2))</f>
        <v>1.2</v>
      </c>
      <c r="H4" s="31">
        <f>Table5[[#This Row],[Sales]]*$K$2</f>
        <v>38500</v>
      </c>
      <c r="P4" s="11" t="s">
        <v>26</v>
      </c>
      <c r="Q4" s="26" t="s">
        <v>64</v>
      </c>
      <c r="R4" s="26" t="s">
        <v>62</v>
      </c>
      <c r="S4" s="27">
        <v>1.25</v>
      </c>
      <c r="T4" s="11" t="s">
        <v>56</v>
      </c>
      <c r="U4" s="26">
        <v>1.2</v>
      </c>
      <c r="V4" s="26" t="s">
        <v>65</v>
      </c>
    </row>
    <row r="5" spans="1:22" x14ac:dyDescent="0.25">
      <c r="A5" s="2" t="s">
        <v>10</v>
      </c>
      <c r="B5" s="2" t="s">
        <v>11</v>
      </c>
      <c r="C5" s="34">
        <v>540000</v>
      </c>
      <c r="D5" s="34">
        <v>750000</v>
      </c>
      <c r="E5" s="6">
        <f>Table5[[#This Row],[Sales]]/Table5[[#This Row],[Target]]</f>
        <v>0.72</v>
      </c>
      <c r="F5" s="6" t="str">
        <f t="shared" si="0"/>
        <v>Below Target</v>
      </c>
      <c r="G5" s="29">
        <f>IF(Table5[[#This Row],[Performance_Status]]="Below Target",0.8,IF(Table5[[#This Row],[Performance_Status]]="Target Achieved",1,1.2))</f>
        <v>0.8</v>
      </c>
      <c r="H5" s="31">
        <f>Table5[[#This Row],[Sales]]*$K$2</f>
        <v>27000</v>
      </c>
      <c r="P5" s="11" t="s">
        <v>10</v>
      </c>
      <c r="Q5" s="26" t="s">
        <v>66</v>
      </c>
      <c r="R5" s="26" t="s">
        <v>62</v>
      </c>
      <c r="S5" s="27">
        <v>0.95</v>
      </c>
      <c r="T5" s="11" t="s">
        <v>54</v>
      </c>
      <c r="U5" s="26">
        <v>0.8</v>
      </c>
      <c r="V5" s="26" t="s">
        <v>67</v>
      </c>
    </row>
    <row r="6" spans="1:22" x14ac:dyDescent="0.25">
      <c r="A6" s="2" t="s">
        <v>12</v>
      </c>
      <c r="B6" s="2" t="s">
        <v>11</v>
      </c>
      <c r="C6" s="34">
        <v>780000</v>
      </c>
      <c r="D6" s="34">
        <v>1100000</v>
      </c>
      <c r="E6" s="6">
        <f>Table5[[#This Row],[Sales]]/Table5[[#This Row],[Target]]</f>
        <v>0.70909090909090911</v>
      </c>
      <c r="F6" s="6" t="str">
        <f t="shared" si="0"/>
        <v>Below Target</v>
      </c>
      <c r="G6" s="29">
        <f>IF(Table5[[#This Row],[Performance_Status]]="Below Target",0.8,IF(Table5[[#This Row],[Performance_Status]]="Target Achieved",1,1.2))</f>
        <v>0.8</v>
      </c>
      <c r="H6" s="31">
        <f>Table5[[#This Row],[Sales]]*$K$2</f>
        <v>39000</v>
      </c>
      <c r="P6" s="11" t="s">
        <v>41</v>
      </c>
      <c r="Q6" s="26" t="s">
        <v>68</v>
      </c>
      <c r="R6" s="26" t="s">
        <v>69</v>
      </c>
      <c r="S6" s="28">
        <v>1.1667000000000001</v>
      </c>
      <c r="T6" s="11" t="s">
        <v>56</v>
      </c>
      <c r="U6" s="26">
        <v>1.2</v>
      </c>
      <c r="V6" s="26" t="s">
        <v>70</v>
      </c>
    </row>
    <row r="7" spans="1:22" x14ac:dyDescent="0.25">
      <c r="A7" s="2" t="s">
        <v>4</v>
      </c>
      <c r="B7" s="2" t="s">
        <v>9</v>
      </c>
      <c r="C7" s="34">
        <v>730000</v>
      </c>
      <c r="D7" s="34">
        <v>1000000</v>
      </c>
      <c r="E7" s="6">
        <f>Table5[[#This Row],[Sales]]/Table5[[#This Row],[Target]]</f>
        <v>0.73</v>
      </c>
      <c r="F7" s="6" t="str">
        <f t="shared" si="0"/>
        <v>Below Target</v>
      </c>
      <c r="G7" s="29">
        <f>IF(Table5[[#This Row],[Performance_Status]]="Below Target",0.8,IF(Table5[[#This Row],[Performance_Status]]="Target Achieved",1,1.2))</f>
        <v>0.8</v>
      </c>
      <c r="H7" s="31">
        <f>Table5[[#This Row],[Sales]]*$K$2</f>
        <v>36500</v>
      </c>
    </row>
    <row r="8" spans="1:22" x14ac:dyDescent="0.25">
      <c r="A8" s="2" t="s">
        <v>13</v>
      </c>
      <c r="B8" s="2" t="s">
        <v>14</v>
      </c>
      <c r="C8" s="34">
        <v>1620000</v>
      </c>
      <c r="D8" s="34">
        <v>1300000</v>
      </c>
      <c r="E8" s="6">
        <f>Table5[[#This Row],[Sales]]/Table5[[#This Row],[Target]]</f>
        <v>1.2461538461538462</v>
      </c>
      <c r="F8" s="6" t="str">
        <f t="shared" si="0"/>
        <v>Above Target</v>
      </c>
      <c r="G8" s="29">
        <f>IF(Table5[[#This Row],[Performance_Status]]="Below Target",0.8,IF(Table5[[#This Row],[Performance_Status]]="Target Achieved",1,1.2))</f>
        <v>1.2</v>
      </c>
      <c r="H8" s="31">
        <f>Table5[[#This Row],[Sales]]*$K$2</f>
        <v>81000</v>
      </c>
    </row>
    <row r="9" spans="1:22" x14ac:dyDescent="0.25">
      <c r="A9" s="2" t="s">
        <v>15</v>
      </c>
      <c r="B9" s="2" t="s">
        <v>16</v>
      </c>
      <c r="C9" s="34">
        <v>1110000</v>
      </c>
      <c r="D9" s="34">
        <v>1250000</v>
      </c>
      <c r="E9" s="6">
        <f>Table5[[#This Row],[Sales]]/Table5[[#This Row],[Target]]</f>
        <v>0.88800000000000001</v>
      </c>
      <c r="F9" s="6" t="str">
        <f t="shared" si="0"/>
        <v>Below Target</v>
      </c>
      <c r="G9" s="29">
        <f>IF(Table5[[#This Row],[Performance_Status]]="Below Target",0.8,IF(Table5[[#This Row],[Performance_Status]]="Target Achieved",1,1.2))</f>
        <v>0.8</v>
      </c>
      <c r="H9" s="31">
        <f>Table5[[#This Row],[Sales]]*$K$2</f>
        <v>55500</v>
      </c>
    </row>
    <row r="10" spans="1:22" x14ac:dyDescent="0.25">
      <c r="A10" s="2" t="s">
        <v>17</v>
      </c>
      <c r="B10" s="2" t="s">
        <v>18</v>
      </c>
      <c r="C10" s="34">
        <v>1120000</v>
      </c>
      <c r="D10" s="34">
        <v>850000</v>
      </c>
      <c r="E10" s="6">
        <f>Table5[[#This Row],[Sales]]/Table5[[#This Row],[Target]]</f>
        <v>1.3176470588235294</v>
      </c>
      <c r="F10" s="6" t="str">
        <f t="shared" si="0"/>
        <v>Above Target</v>
      </c>
      <c r="G10" s="29">
        <f>IF(Table5[[#This Row],[Performance_Status]]="Below Target",0.8,IF(Table5[[#This Row],[Performance_Status]]="Target Achieved",1,1.2))</f>
        <v>1.2</v>
      </c>
      <c r="H10" s="31">
        <f>Table5[[#This Row],[Sales]]*$K$2</f>
        <v>56000</v>
      </c>
    </row>
    <row r="11" spans="1:22" x14ac:dyDescent="0.25">
      <c r="A11" s="2" t="s">
        <v>19</v>
      </c>
      <c r="B11" s="2" t="s">
        <v>5</v>
      </c>
      <c r="C11" s="34">
        <v>640000</v>
      </c>
      <c r="D11" s="34">
        <v>750000</v>
      </c>
      <c r="E11" s="6">
        <f>Table5[[#This Row],[Sales]]/Table5[[#This Row],[Target]]</f>
        <v>0.85333333333333339</v>
      </c>
      <c r="F11" s="6" t="str">
        <f t="shared" si="0"/>
        <v>Below Target</v>
      </c>
      <c r="G11" s="29">
        <f>IF(Table5[[#This Row],[Performance_Status]]="Below Target",0.8,IF(Table5[[#This Row],[Performance_Status]]="Target Achieved",1,1.2))</f>
        <v>0.8</v>
      </c>
      <c r="H11" s="31">
        <f>Table5[[#This Row],[Sales]]*$K$2</f>
        <v>32000</v>
      </c>
    </row>
    <row r="12" spans="1:22" x14ac:dyDescent="0.25">
      <c r="A12" s="2" t="s">
        <v>20</v>
      </c>
      <c r="B12" s="2" t="s">
        <v>21</v>
      </c>
      <c r="C12" s="34">
        <v>880000</v>
      </c>
      <c r="D12" s="34">
        <v>1150000</v>
      </c>
      <c r="E12" s="6">
        <f>Table5[[#This Row],[Sales]]/Table5[[#This Row],[Target]]</f>
        <v>0.76521739130434785</v>
      </c>
      <c r="F12" s="6" t="str">
        <f t="shared" si="0"/>
        <v>Below Target</v>
      </c>
      <c r="G12" s="29">
        <f>IF(Table5[[#This Row],[Performance_Status]]="Below Target",0.8,IF(Table5[[#This Row],[Performance_Status]]="Target Achieved",1,1.2))</f>
        <v>0.8</v>
      </c>
      <c r="H12" s="31">
        <f>Table5[[#This Row],[Sales]]*$K$2</f>
        <v>44000</v>
      </c>
    </row>
    <row r="13" spans="1:22" x14ac:dyDescent="0.25">
      <c r="A13" s="2" t="s">
        <v>10</v>
      </c>
      <c r="B13" s="2" t="s">
        <v>22</v>
      </c>
      <c r="C13" s="34">
        <v>710000</v>
      </c>
      <c r="D13" s="34">
        <v>1100000</v>
      </c>
      <c r="E13" s="6">
        <f>Table5[[#This Row],[Sales]]/Table5[[#This Row],[Target]]</f>
        <v>0.6454545454545455</v>
      </c>
      <c r="F13" s="6" t="str">
        <f t="shared" si="0"/>
        <v>Below Target</v>
      </c>
      <c r="G13" s="29">
        <f>IF(Table5[[#This Row],[Performance_Status]]="Below Target",0.8,IF(Table5[[#This Row],[Performance_Status]]="Target Achieved",1,1.2))</f>
        <v>0.8</v>
      </c>
      <c r="H13" s="31">
        <f>Table5[[#This Row],[Sales]]*$K$2</f>
        <v>35500</v>
      </c>
    </row>
    <row r="14" spans="1:22" x14ac:dyDescent="0.25">
      <c r="A14" s="2" t="s">
        <v>23</v>
      </c>
      <c r="B14" s="2" t="s">
        <v>24</v>
      </c>
      <c r="C14" s="34">
        <v>740000</v>
      </c>
      <c r="D14" s="34">
        <v>750000</v>
      </c>
      <c r="E14" s="6">
        <f>Table5[[#This Row],[Sales]]/Table5[[#This Row],[Target]]</f>
        <v>0.98666666666666669</v>
      </c>
      <c r="F14" s="6" t="str">
        <f t="shared" si="0"/>
        <v>Below Target</v>
      </c>
      <c r="G14" s="29">
        <f>IF(Table5[[#This Row],[Performance_Status]]="Below Target",0.8,IF(Table5[[#This Row],[Performance_Status]]="Target Achieved",1,1.2))</f>
        <v>0.8</v>
      </c>
      <c r="H14" s="31">
        <f>Table5[[#This Row],[Sales]]*$K$2</f>
        <v>37000</v>
      </c>
    </row>
    <row r="15" spans="1:22" x14ac:dyDescent="0.25">
      <c r="A15" s="2" t="s">
        <v>25</v>
      </c>
      <c r="B15" s="2" t="s">
        <v>21</v>
      </c>
      <c r="C15" s="34">
        <v>810000</v>
      </c>
      <c r="D15" s="34">
        <v>1150000</v>
      </c>
      <c r="E15" s="6">
        <f>Table5[[#This Row],[Sales]]/Table5[[#This Row],[Target]]</f>
        <v>0.70434782608695656</v>
      </c>
      <c r="F15" s="6" t="str">
        <f t="shared" si="0"/>
        <v>Below Target</v>
      </c>
      <c r="G15" s="29">
        <f>IF(Table5[[#This Row],[Performance_Status]]="Below Target",0.8,IF(Table5[[#This Row],[Performance_Status]]="Target Achieved",1,1.2))</f>
        <v>0.8</v>
      </c>
      <c r="H15" s="31">
        <f>Table5[[#This Row],[Sales]]*$K$2</f>
        <v>40500</v>
      </c>
    </row>
    <row r="16" spans="1:22" x14ac:dyDescent="0.25">
      <c r="A16" s="2" t="s">
        <v>26</v>
      </c>
      <c r="B16" s="2" t="s">
        <v>27</v>
      </c>
      <c r="C16" s="34">
        <v>880000</v>
      </c>
      <c r="D16" s="34">
        <v>1200000</v>
      </c>
      <c r="E16" s="6">
        <f>Table5[[#This Row],[Sales]]/Table5[[#This Row],[Target]]</f>
        <v>0.73333333333333328</v>
      </c>
      <c r="F16" s="6" t="str">
        <f t="shared" si="0"/>
        <v>Below Target</v>
      </c>
      <c r="G16" s="29">
        <f>IF(Table5[[#This Row],[Performance_Status]]="Below Target",0.8,IF(Table5[[#This Row],[Performance_Status]]="Target Achieved",1,1.2))</f>
        <v>0.8</v>
      </c>
      <c r="H16" s="31">
        <f>Table5[[#This Row],[Sales]]*$K$2</f>
        <v>44000</v>
      </c>
    </row>
    <row r="17" spans="1:8" x14ac:dyDescent="0.25">
      <c r="A17" s="2" t="s">
        <v>28</v>
      </c>
      <c r="B17" s="2" t="s">
        <v>29</v>
      </c>
      <c r="C17" s="34">
        <v>990000</v>
      </c>
      <c r="D17" s="34">
        <v>1350000</v>
      </c>
      <c r="E17" s="6">
        <f>Table5[[#This Row],[Sales]]/Table5[[#This Row],[Target]]</f>
        <v>0.73333333333333328</v>
      </c>
      <c r="F17" s="6" t="str">
        <f t="shared" si="0"/>
        <v>Below Target</v>
      </c>
      <c r="G17" s="29">
        <f>IF(Table5[[#This Row],[Performance_Status]]="Below Target",0.8,IF(Table5[[#This Row],[Performance_Status]]="Target Achieved",1,1.2))</f>
        <v>0.8</v>
      </c>
      <c r="H17" s="31">
        <f>Table5[[#This Row],[Sales]]*$K$2</f>
        <v>49500</v>
      </c>
    </row>
    <row r="18" spans="1:8" x14ac:dyDescent="0.25">
      <c r="A18" s="2" t="s">
        <v>30</v>
      </c>
      <c r="B18" s="2" t="s">
        <v>24</v>
      </c>
      <c r="C18" s="34">
        <v>820000</v>
      </c>
      <c r="D18" s="34">
        <v>900000</v>
      </c>
      <c r="E18" s="6">
        <f>Table5[[#This Row],[Sales]]/Table5[[#This Row],[Target]]</f>
        <v>0.91111111111111109</v>
      </c>
      <c r="F18" s="6" t="str">
        <f t="shared" si="0"/>
        <v>Below Target</v>
      </c>
      <c r="G18" s="29">
        <f>IF(Table5[[#This Row],[Performance_Status]]="Below Target",0.8,IF(Table5[[#This Row],[Performance_Status]]="Target Achieved",1,1.2))</f>
        <v>0.8</v>
      </c>
      <c r="H18" s="31">
        <f>Table5[[#This Row],[Sales]]*$K$2</f>
        <v>41000</v>
      </c>
    </row>
    <row r="19" spans="1:8" x14ac:dyDescent="0.25">
      <c r="A19" s="2" t="s">
        <v>25</v>
      </c>
      <c r="B19" s="2" t="s">
        <v>21</v>
      </c>
      <c r="C19" s="34">
        <v>680000</v>
      </c>
      <c r="D19" s="34">
        <v>800000</v>
      </c>
      <c r="E19" s="6">
        <f>Table5[[#This Row],[Sales]]/Table5[[#This Row],[Target]]</f>
        <v>0.85</v>
      </c>
      <c r="F19" s="6" t="str">
        <f t="shared" si="0"/>
        <v>Below Target</v>
      </c>
      <c r="G19" s="29">
        <f>IF(Table5[[#This Row],[Performance_Status]]="Below Target",0.8,IF(Table5[[#This Row],[Performance_Status]]="Target Achieved",1,1.2))</f>
        <v>0.8</v>
      </c>
      <c r="H19" s="31">
        <f>Table5[[#This Row],[Sales]]*$K$2</f>
        <v>34000</v>
      </c>
    </row>
    <row r="20" spans="1:8" x14ac:dyDescent="0.25">
      <c r="A20" s="2" t="s">
        <v>31</v>
      </c>
      <c r="B20" s="2" t="s">
        <v>14</v>
      </c>
      <c r="C20" s="34">
        <v>1620000</v>
      </c>
      <c r="D20" s="34">
        <v>1250000</v>
      </c>
      <c r="E20" s="6">
        <f>Table5[[#This Row],[Sales]]/Table5[[#This Row],[Target]]</f>
        <v>1.296</v>
      </c>
      <c r="F20" s="6" t="str">
        <f t="shared" si="0"/>
        <v>Above Target</v>
      </c>
      <c r="G20" s="29">
        <f>IF(Table5[[#This Row],[Performance_Status]]="Below Target",0.8,IF(Table5[[#This Row],[Performance_Status]]="Target Achieved",1,1.2))</f>
        <v>1.2</v>
      </c>
      <c r="H20" s="31">
        <f>Table5[[#This Row],[Sales]]*$K$2</f>
        <v>81000</v>
      </c>
    </row>
    <row r="21" spans="1:8" x14ac:dyDescent="0.25">
      <c r="A21" s="2" t="s">
        <v>4</v>
      </c>
      <c r="B21" s="2" t="s">
        <v>29</v>
      </c>
      <c r="C21" s="34">
        <v>1220000</v>
      </c>
      <c r="D21" s="34">
        <v>1150000</v>
      </c>
      <c r="E21" s="6">
        <f>Table5[[#This Row],[Sales]]/Table5[[#This Row],[Target]]</f>
        <v>1.0608695652173914</v>
      </c>
      <c r="F21" s="6" t="str">
        <f t="shared" si="0"/>
        <v>Above Target</v>
      </c>
      <c r="G21" s="29">
        <f>IF(Table5[[#This Row],[Performance_Status]]="Below Target",0.8,IF(Table5[[#This Row],[Performance_Status]]="Target Achieved",1,1.2))</f>
        <v>1.2</v>
      </c>
      <c r="H21" s="31">
        <f>Table5[[#This Row],[Sales]]*$K$2</f>
        <v>61000</v>
      </c>
    </row>
    <row r="22" spans="1:8" x14ac:dyDescent="0.25">
      <c r="A22" s="2" t="s">
        <v>32</v>
      </c>
      <c r="B22" s="2" t="s">
        <v>7</v>
      </c>
      <c r="C22" s="34">
        <v>740000</v>
      </c>
      <c r="D22" s="34">
        <v>800000</v>
      </c>
      <c r="E22" s="6">
        <f>Table5[[#This Row],[Sales]]/Table5[[#This Row],[Target]]</f>
        <v>0.92500000000000004</v>
      </c>
      <c r="F22" s="6" t="str">
        <f t="shared" si="0"/>
        <v>Below Target</v>
      </c>
      <c r="G22" s="29">
        <f>IF(Table5[[#This Row],[Performance_Status]]="Below Target",0.8,IF(Table5[[#This Row],[Performance_Status]]="Target Achieved",1,1.2))</f>
        <v>0.8</v>
      </c>
      <c r="H22" s="31">
        <f>Table5[[#This Row],[Sales]]*$K$2</f>
        <v>37000</v>
      </c>
    </row>
    <row r="23" spans="1:8" x14ac:dyDescent="0.25">
      <c r="A23" s="2" t="s">
        <v>17</v>
      </c>
      <c r="B23" s="2" t="s">
        <v>9</v>
      </c>
      <c r="C23" s="34">
        <v>930000</v>
      </c>
      <c r="D23" s="34">
        <v>850000</v>
      </c>
      <c r="E23" s="6">
        <f>Table5[[#This Row],[Sales]]/Table5[[#This Row],[Target]]</f>
        <v>1.0941176470588236</v>
      </c>
      <c r="F23" s="6" t="str">
        <f t="shared" si="0"/>
        <v>Above Target</v>
      </c>
      <c r="G23" s="29">
        <f>IF(Table5[[#This Row],[Performance_Status]]="Below Target",0.8,IF(Table5[[#This Row],[Performance_Status]]="Target Achieved",1,1.2))</f>
        <v>1.2</v>
      </c>
      <c r="H23" s="31">
        <f>Table5[[#This Row],[Sales]]*$K$2</f>
        <v>46500</v>
      </c>
    </row>
    <row r="24" spans="1:8" x14ac:dyDescent="0.25">
      <c r="A24" s="2" t="s">
        <v>25</v>
      </c>
      <c r="B24" s="2" t="s">
        <v>27</v>
      </c>
      <c r="C24" s="34">
        <v>1030000</v>
      </c>
      <c r="D24" s="34">
        <v>850000</v>
      </c>
      <c r="E24" s="6">
        <f>Table5[[#This Row],[Sales]]/Table5[[#This Row],[Target]]</f>
        <v>1.2117647058823529</v>
      </c>
      <c r="F24" s="6" t="str">
        <f t="shared" si="0"/>
        <v>Above Target</v>
      </c>
      <c r="G24" s="29">
        <f>IF(Table5[[#This Row],[Performance_Status]]="Below Target",0.8,IF(Table5[[#This Row],[Performance_Status]]="Target Achieved",1,1.2))</f>
        <v>1.2</v>
      </c>
      <c r="H24" s="31">
        <f>Table5[[#This Row],[Sales]]*$K$2</f>
        <v>51500</v>
      </c>
    </row>
    <row r="25" spans="1:8" x14ac:dyDescent="0.25">
      <c r="A25" s="2" t="s">
        <v>33</v>
      </c>
      <c r="B25" s="2" t="s">
        <v>34</v>
      </c>
      <c r="C25" s="34">
        <v>760000</v>
      </c>
      <c r="D25" s="34">
        <v>1000000</v>
      </c>
      <c r="E25" s="6">
        <f>Table5[[#This Row],[Sales]]/Table5[[#This Row],[Target]]</f>
        <v>0.76</v>
      </c>
      <c r="F25" s="6" t="str">
        <f t="shared" si="0"/>
        <v>Below Target</v>
      </c>
      <c r="G25" s="29">
        <f>IF(Table5[[#This Row],[Performance_Status]]="Below Target",0.8,IF(Table5[[#This Row],[Performance_Status]]="Target Achieved",1,1.2))</f>
        <v>0.8</v>
      </c>
      <c r="H25" s="31">
        <f>Table5[[#This Row],[Sales]]*$K$2</f>
        <v>38000</v>
      </c>
    </row>
    <row r="26" spans="1:8" x14ac:dyDescent="0.25">
      <c r="A26" s="2" t="s">
        <v>31</v>
      </c>
      <c r="B26" s="2" t="s">
        <v>34</v>
      </c>
      <c r="C26" s="34">
        <v>910000</v>
      </c>
      <c r="D26" s="34">
        <v>850000</v>
      </c>
      <c r="E26" s="6">
        <f>Table5[[#This Row],[Sales]]/Table5[[#This Row],[Target]]</f>
        <v>1.0705882352941176</v>
      </c>
      <c r="F26" s="6" t="str">
        <f t="shared" si="0"/>
        <v>Above Target</v>
      </c>
      <c r="G26" s="29">
        <f>IF(Table5[[#This Row],[Performance_Status]]="Below Target",0.8,IF(Table5[[#This Row],[Performance_Status]]="Target Achieved",1,1.2))</f>
        <v>1.2</v>
      </c>
      <c r="H26" s="31">
        <f>Table5[[#This Row],[Sales]]*$K$2</f>
        <v>45500</v>
      </c>
    </row>
    <row r="27" spans="1:8" x14ac:dyDescent="0.25">
      <c r="A27" s="2" t="s">
        <v>35</v>
      </c>
      <c r="B27" s="2" t="s">
        <v>22</v>
      </c>
      <c r="C27" s="34">
        <v>610000</v>
      </c>
      <c r="D27" s="34">
        <v>800000</v>
      </c>
      <c r="E27" s="6">
        <f>Table5[[#This Row],[Sales]]/Table5[[#This Row],[Target]]</f>
        <v>0.76249999999999996</v>
      </c>
      <c r="F27" s="6" t="str">
        <f t="shared" si="0"/>
        <v>Below Target</v>
      </c>
      <c r="G27" s="29">
        <f>IF(Table5[[#This Row],[Performance_Status]]="Below Target",0.8,IF(Table5[[#This Row],[Performance_Status]]="Target Achieved",1,1.2))</f>
        <v>0.8</v>
      </c>
      <c r="H27" s="31">
        <f>Table5[[#This Row],[Sales]]*$K$2</f>
        <v>30500</v>
      </c>
    </row>
    <row r="28" spans="1:8" x14ac:dyDescent="0.25">
      <c r="A28" s="2" t="s">
        <v>6</v>
      </c>
      <c r="B28" s="2" t="s">
        <v>9</v>
      </c>
      <c r="C28" s="34">
        <v>840000</v>
      </c>
      <c r="D28" s="34">
        <v>1100000</v>
      </c>
      <c r="E28" s="6">
        <f>Table5[[#This Row],[Sales]]/Table5[[#This Row],[Target]]</f>
        <v>0.76363636363636367</v>
      </c>
      <c r="F28" s="6" t="str">
        <f t="shared" si="0"/>
        <v>Below Target</v>
      </c>
      <c r="G28" s="29">
        <f>IF(Table5[[#This Row],[Performance_Status]]="Below Target",0.8,IF(Table5[[#This Row],[Performance_Status]]="Target Achieved",1,1.2))</f>
        <v>0.8</v>
      </c>
      <c r="H28" s="31">
        <f>Table5[[#This Row],[Sales]]*$K$2</f>
        <v>42000</v>
      </c>
    </row>
    <row r="29" spans="1:8" x14ac:dyDescent="0.25">
      <c r="A29" s="2" t="s">
        <v>13</v>
      </c>
      <c r="B29" s="2" t="s">
        <v>36</v>
      </c>
      <c r="C29" s="34">
        <v>1420000</v>
      </c>
      <c r="D29" s="34">
        <v>1400000</v>
      </c>
      <c r="E29" s="6">
        <f>Table5[[#This Row],[Sales]]/Table5[[#This Row],[Target]]</f>
        <v>1.0142857142857142</v>
      </c>
      <c r="F29" s="6" t="str">
        <f t="shared" si="0"/>
        <v>Above Target</v>
      </c>
      <c r="G29" s="29">
        <f>IF(Table5[[#This Row],[Performance_Status]]="Below Target",0.8,IF(Table5[[#This Row],[Performance_Status]]="Target Achieved",1,1.2))</f>
        <v>1.2</v>
      </c>
      <c r="H29" s="31">
        <f>Table5[[#This Row],[Sales]]*$K$2</f>
        <v>71000</v>
      </c>
    </row>
    <row r="30" spans="1:8" x14ac:dyDescent="0.25">
      <c r="A30" s="2" t="s">
        <v>20</v>
      </c>
      <c r="B30" s="2" t="s">
        <v>7</v>
      </c>
      <c r="C30" s="34">
        <v>770000</v>
      </c>
      <c r="D30" s="34">
        <v>800000</v>
      </c>
      <c r="E30" s="6">
        <f>Table5[[#This Row],[Sales]]/Table5[[#This Row],[Target]]</f>
        <v>0.96250000000000002</v>
      </c>
      <c r="F30" s="6" t="str">
        <f t="shared" si="0"/>
        <v>Below Target</v>
      </c>
      <c r="G30" s="29">
        <f>IF(Table5[[#This Row],[Performance_Status]]="Below Target",0.8,IF(Table5[[#This Row],[Performance_Status]]="Target Achieved",1,1.2))</f>
        <v>0.8</v>
      </c>
      <c r="H30" s="31">
        <f>Table5[[#This Row],[Sales]]*$K$2</f>
        <v>38500</v>
      </c>
    </row>
    <row r="31" spans="1:8" x14ac:dyDescent="0.25">
      <c r="A31" s="2" t="s">
        <v>26</v>
      </c>
      <c r="B31" s="2" t="s">
        <v>27</v>
      </c>
      <c r="C31" s="34">
        <v>860000</v>
      </c>
      <c r="D31" s="34">
        <v>1350000</v>
      </c>
      <c r="E31" s="6">
        <f>Table5[[#This Row],[Sales]]/Table5[[#This Row],[Target]]</f>
        <v>0.63703703703703707</v>
      </c>
      <c r="F31" s="6" t="str">
        <f t="shared" si="0"/>
        <v>Below Target</v>
      </c>
      <c r="G31" s="29">
        <f>IF(Table5[[#This Row],[Performance_Status]]="Below Target",0.8,IF(Table5[[#This Row],[Performance_Status]]="Target Achieved",1,1.2))</f>
        <v>0.8</v>
      </c>
      <c r="H31" s="31">
        <f>Table5[[#This Row],[Sales]]*$K$2</f>
        <v>43000</v>
      </c>
    </row>
    <row r="32" spans="1:8" x14ac:dyDescent="0.25">
      <c r="A32" s="2" t="s">
        <v>4</v>
      </c>
      <c r="B32" s="2" t="s">
        <v>16</v>
      </c>
      <c r="C32" s="34">
        <v>1420000</v>
      </c>
      <c r="D32" s="34">
        <v>1300000</v>
      </c>
      <c r="E32" s="6">
        <f>Table5[[#This Row],[Sales]]/Table5[[#This Row],[Target]]</f>
        <v>1.0923076923076922</v>
      </c>
      <c r="F32" s="6" t="str">
        <f t="shared" si="0"/>
        <v>Above Target</v>
      </c>
      <c r="G32" s="29">
        <f>IF(Table5[[#This Row],[Performance_Status]]="Below Target",0.8,IF(Table5[[#This Row],[Performance_Status]]="Target Achieved",1,1.2))</f>
        <v>1.2</v>
      </c>
      <c r="H32" s="31">
        <f>Table5[[#This Row],[Sales]]*$K$2</f>
        <v>71000</v>
      </c>
    </row>
    <row r="33" spans="1:8" x14ac:dyDescent="0.25">
      <c r="A33" s="2" t="s">
        <v>37</v>
      </c>
      <c r="B33" s="2" t="s">
        <v>29</v>
      </c>
      <c r="C33" s="34">
        <v>860000</v>
      </c>
      <c r="D33" s="34">
        <v>1000000</v>
      </c>
      <c r="E33" s="6">
        <f>Table5[[#This Row],[Sales]]/Table5[[#This Row],[Target]]</f>
        <v>0.86</v>
      </c>
      <c r="F33" s="6" t="str">
        <f t="shared" si="0"/>
        <v>Below Target</v>
      </c>
      <c r="G33" s="29">
        <f>IF(Table5[[#This Row],[Performance_Status]]="Below Target",0.8,IF(Table5[[#This Row],[Performance_Status]]="Target Achieved",1,1.2))</f>
        <v>0.8</v>
      </c>
      <c r="H33" s="31">
        <f>Table5[[#This Row],[Sales]]*$K$2</f>
        <v>43000</v>
      </c>
    </row>
    <row r="34" spans="1:8" x14ac:dyDescent="0.25">
      <c r="A34" s="2" t="s">
        <v>38</v>
      </c>
      <c r="B34" s="2" t="s">
        <v>39</v>
      </c>
      <c r="C34" s="34">
        <v>1190000</v>
      </c>
      <c r="D34" s="34">
        <v>900000</v>
      </c>
      <c r="E34" s="6">
        <f>Table5[[#This Row],[Sales]]/Table5[[#This Row],[Target]]</f>
        <v>1.3222222222222222</v>
      </c>
      <c r="F34" s="6" t="str">
        <f t="shared" ref="F34:F65" si="1">IF(E34&lt;100%,"Below Target",IF(E34=100%,"Target Achieved","Above Target"))</f>
        <v>Above Target</v>
      </c>
      <c r="G34" s="29">
        <f>IF(Table5[[#This Row],[Performance_Status]]="Below Target",0.8,IF(Table5[[#This Row],[Performance_Status]]="Target Achieved",1,1.2))</f>
        <v>1.2</v>
      </c>
      <c r="H34" s="31">
        <f>Table5[[#This Row],[Sales]]*$K$2</f>
        <v>59500</v>
      </c>
    </row>
    <row r="35" spans="1:8" x14ac:dyDescent="0.25">
      <c r="A35" s="2" t="s">
        <v>40</v>
      </c>
      <c r="B35" s="2" t="s">
        <v>11</v>
      </c>
      <c r="C35" s="34">
        <v>1350000</v>
      </c>
      <c r="D35" s="34">
        <v>1200000</v>
      </c>
      <c r="E35" s="6">
        <f>Table5[[#This Row],[Sales]]/Table5[[#This Row],[Target]]</f>
        <v>1.125</v>
      </c>
      <c r="F35" s="6" t="str">
        <f t="shared" si="1"/>
        <v>Above Target</v>
      </c>
      <c r="G35" s="29">
        <f>IF(Table5[[#This Row],[Performance_Status]]="Below Target",0.8,IF(Table5[[#This Row],[Performance_Status]]="Target Achieved",1,1.2))</f>
        <v>1.2</v>
      </c>
      <c r="H35" s="31">
        <f>Table5[[#This Row],[Sales]]*$K$2</f>
        <v>67500</v>
      </c>
    </row>
    <row r="36" spans="1:8" x14ac:dyDescent="0.25">
      <c r="A36" s="2" t="s">
        <v>8</v>
      </c>
      <c r="B36" s="2" t="s">
        <v>9</v>
      </c>
      <c r="C36" s="34">
        <v>990000</v>
      </c>
      <c r="D36" s="34">
        <v>1300000</v>
      </c>
      <c r="E36" s="6">
        <f>Table5[[#This Row],[Sales]]/Table5[[#This Row],[Target]]</f>
        <v>0.7615384615384615</v>
      </c>
      <c r="F36" s="6" t="str">
        <f t="shared" si="1"/>
        <v>Below Target</v>
      </c>
      <c r="G36" s="29">
        <f>IF(Table5[[#This Row],[Performance_Status]]="Below Target",0.8,IF(Table5[[#This Row],[Performance_Status]]="Target Achieved",1,1.2))</f>
        <v>0.8</v>
      </c>
      <c r="H36" s="31">
        <f>Table5[[#This Row],[Sales]]*$K$2</f>
        <v>49500</v>
      </c>
    </row>
    <row r="37" spans="1:8" x14ac:dyDescent="0.25">
      <c r="A37" s="2" t="s">
        <v>4</v>
      </c>
      <c r="B37" s="2" t="s">
        <v>34</v>
      </c>
      <c r="C37" s="34">
        <v>590000</v>
      </c>
      <c r="D37" s="34">
        <v>750000</v>
      </c>
      <c r="E37" s="6">
        <f>Table5[[#This Row],[Sales]]/Table5[[#This Row],[Target]]</f>
        <v>0.78666666666666663</v>
      </c>
      <c r="F37" s="6" t="str">
        <f t="shared" si="1"/>
        <v>Below Target</v>
      </c>
      <c r="G37" s="29">
        <f>IF(Table5[[#This Row],[Performance_Status]]="Below Target",0.8,IF(Table5[[#This Row],[Performance_Status]]="Target Achieved",1,1.2))</f>
        <v>0.8</v>
      </c>
      <c r="H37" s="31">
        <f>Table5[[#This Row],[Sales]]*$K$2</f>
        <v>29500</v>
      </c>
    </row>
    <row r="38" spans="1:8" x14ac:dyDescent="0.25">
      <c r="A38" s="2" t="s">
        <v>41</v>
      </c>
      <c r="B38" s="2" t="s">
        <v>22</v>
      </c>
      <c r="C38" s="34">
        <v>920000</v>
      </c>
      <c r="D38" s="34">
        <v>700000</v>
      </c>
      <c r="E38" s="6">
        <f>Table5[[#This Row],[Sales]]/Table5[[#This Row],[Target]]</f>
        <v>1.3142857142857143</v>
      </c>
      <c r="F38" s="6" t="str">
        <f t="shared" si="1"/>
        <v>Above Target</v>
      </c>
      <c r="G38" s="29">
        <f>IF(Table5[[#This Row],[Performance_Status]]="Below Target",0.8,IF(Table5[[#This Row],[Performance_Status]]="Target Achieved",1,1.2))</f>
        <v>1.2</v>
      </c>
      <c r="H38" s="31">
        <f>Table5[[#This Row],[Sales]]*$K$2</f>
        <v>46000</v>
      </c>
    </row>
    <row r="39" spans="1:8" x14ac:dyDescent="0.25">
      <c r="A39" s="2" t="s">
        <v>42</v>
      </c>
      <c r="B39" s="2" t="s">
        <v>14</v>
      </c>
      <c r="C39" s="34">
        <v>1280000</v>
      </c>
      <c r="D39" s="34">
        <v>1100000</v>
      </c>
      <c r="E39" s="6">
        <f>Table5[[#This Row],[Sales]]/Table5[[#This Row],[Target]]</f>
        <v>1.1636363636363636</v>
      </c>
      <c r="F39" s="6" t="str">
        <f t="shared" si="1"/>
        <v>Above Target</v>
      </c>
      <c r="G39" s="29">
        <f>IF(Table5[[#This Row],[Performance_Status]]="Below Target",0.8,IF(Table5[[#This Row],[Performance_Status]]="Target Achieved",1,1.2))</f>
        <v>1.2</v>
      </c>
      <c r="H39" s="31">
        <f>Table5[[#This Row],[Sales]]*$K$2</f>
        <v>64000</v>
      </c>
    </row>
    <row r="40" spans="1:8" x14ac:dyDescent="0.25">
      <c r="A40" s="2" t="s">
        <v>12</v>
      </c>
      <c r="B40" s="2" t="s">
        <v>5</v>
      </c>
      <c r="C40" s="34">
        <v>1420000</v>
      </c>
      <c r="D40" s="34">
        <v>1350000</v>
      </c>
      <c r="E40" s="6">
        <f>Table5[[#This Row],[Sales]]/Table5[[#This Row],[Target]]</f>
        <v>1.0518518518518518</v>
      </c>
      <c r="F40" s="6" t="str">
        <f t="shared" si="1"/>
        <v>Above Target</v>
      </c>
      <c r="G40" s="29">
        <f>IF(Table5[[#This Row],[Performance_Status]]="Below Target",0.8,IF(Table5[[#This Row],[Performance_Status]]="Target Achieved",1,1.2))</f>
        <v>1.2</v>
      </c>
      <c r="H40" s="31">
        <f>Table5[[#This Row],[Sales]]*$K$2</f>
        <v>71000</v>
      </c>
    </row>
    <row r="41" spans="1:8" x14ac:dyDescent="0.25">
      <c r="A41" s="2" t="s">
        <v>25</v>
      </c>
      <c r="B41" s="2" t="s">
        <v>39</v>
      </c>
      <c r="C41" s="34">
        <v>820000</v>
      </c>
      <c r="D41" s="34">
        <v>1150000</v>
      </c>
      <c r="E41" s="6">
        <f>Table5[[#This Row],[Sales]]/Table5[[#This Row],[Target]]</f>
        <v>0.71304347826086956</v>
      </c>
      <c r="F41" s="6" t="str">
        <f t="shared" si="1"/>
        <v>Below Target</v>
      </c>
      <c r="G41" s="29">
        <f>IF(Table5[[#This Row],[Performance_Status]]="Below Target",0.8,IF(Table5[[#This Row],[Performance_Status]]="Target Achieved",1,1.2))</f>
        <v>0.8</v>
      </c>
      <c r="H41" s="31">
        <f>Table5[[#This Row],[Sales]]*$K$2</f>
        <v>41000</v>
      </c>
    </row>
    <row r="42" spans="1:8" x14ac:dyDescent="0.25">
      <c r="A42" s="2" t="s">
        <v>20</v>
      </c>
      <c r="B42" s="2" t="s">
        <v>16</v>
      </c>
      <c r="C42" s="34">
        <v>1440000</v>
      </c>
      <c r="D42" s="34">
        <v>1100000</v>
      </c>
      <c r="E42" s="6">
        <f>Table5[[#This Row],[Sales]]/Table5[[#This Row],[Target]]</f>
        <v>1.3090909090909091</v>
      </c>
      <c r="F42" s="6" t="str">
        <f t="shared" si="1"/>
        <v>Above Target</v>
      </c>
      <c r="G42" s="29">
        <f>IF(Table5[[#This Row],[Performance_Status]]="Below Target",0.8,IF(Table5[[#This Row],[Performance_Status]]="Target Achieved",1,1.2))</f>
        <v>1.2</v>
      </c>
      <c r="H42" s="31">
        <f>Table5[[#This Row],[Sales]]*$K$2</f>
        <v>72000</v>
      </c>
    </row>
    <row r="43" spans="1:8" x14ac:dyDescent="0.25">
      <c r="A43" s="2" t="s">
        <v>23</v>
      </c>
      <c r="B43" s="2" t="s">
        <v>39</v>
      </c>
      <c r="C43" s="34">
        <v>770000</v>
      </c>
      <c r="D43" s="34">
        <v>1400000</v>
      </c>
      <c r="E43" s="6">
        <f>Table5[[#This Row],[Sales]]/Table5[[#This Row],[Target]]</f>
        <v>0.55000000000000004</v>
      </c>
      <c r="F43" s="6" t="str">
        <f t="shared" si="1"/>
        <v>Below Target</v>
      </c>
      <c r="G43" s="29">
        <f>IF(Table5[[#This Row],[Performance_Status]]="Below Target",0.8,IF(Table5[[#This Row],[Performance_Status]]="Target Achieved",1,1.2))</f>
        <v>0.8</v>
      </c>
      <c r="H43" s="31">
        <f>Table5[[#This Row],[Sales]]*$K$2</f>
        <v>38500</v>
      </c>
    </row>
    <row r="44" spans="1:8" x14ac:dyDescent="0.25">
      <c r="A44" s="2" t="s">
        <v>19</v>
      </c>
      <c r="B44" s="2" t="s">
        <v>43</v>
      </c>
      <c r="C44" s="34">
        <v>450000</v>
      </c>
      <c r="D44" s="34">
        <v>700000</v>
      </c>
      <c r="E44" s="6">
        <f>Table5[[#This Row],[Sales]]/Table5[[#This Row],[Target]]</f>
        <v>0.6428571428571429</v>
      </c>
      <c r="F44" s="6" t="str">
        <f t="shared" si="1"/>
        <v>Below Target</v>
      </c>
      <c r="G44" s="29">
        <f>IF(Table5[[#This Row],[Performance_Status]]="Below Target",0.8,IF(Table5[[#This Row],[Performance_Status]]="Target Achieved",1,1.2))</f>
        <v>0.8</v>
      </c>
      <c r="H44" s="31">
        <f>Table5[[#This Row],[Sales]]*$K$2</f>
        <v>22500</v>
      </c>
    </row>
    <row r="45" spans="1:8" x14ac:dyDescent="0.25">
      <c r="A45" s="2" t="s">
        <v>20</v>
      </c>
      <c r="B45" s="2" t="s">
        <v>44</v>
      </c>
      <c r="C45" s="34">
        <v>510000</v>
      </c>
      <c r="D45" s="34">
        <v>850000</v>
      </c>
      <c r="E45" s="6">
        <f>Table5[[#This Row],[Sales]]/Table5[[#This Row],[Target]]</f>
        <v>0.6</v>
      </c>
      <c r="F45" s="6" t="str">
        <f t="shared" si="1"/>
        <v>Below Target</v>
      </c>
      <c r="G45" s="29">
        <f>IF(Table5[[#This Row],[Performance_Status]]="Below Target",0.8,IF(Table5[[#This Row],[Performance_Status]]="Target Achieved",1,1.2))</f>
        <v>0.8</v>
      </c>
      <c r="H45" s="31">
        <f>Table5[[#This Row],[Sales]]*$K$2</f>
        <v>25500</v>
      </c>
    </row>
    <row r="46" spans="1:8" x14ac:dyDescent="0.25">
      <c r="A46" s="2" t="s">
        <v>42</v>
      </c>
      <c r="B46" s="2" t="s">
        <v>29</v>
      </c>
      <c r="C46" s="34">
        <v>850000</v>
      </c>
      <c r="D46" s="34">
        <v>750000</v>
      </c>
      <c r="E46" s="6">
        <f>Table5[[#This Row],[Sales]]/Table5[[#This Row],[Target]]</f>
        <v>1.1333333333333333</v>
      </c>
      <c r="F46" s="6" t="str">
        <f t="shared" si="1"/>
        <v>Above Target</v>
      </c>
      <c r="G46" s="29">
        <f>IF(Table5[[#This Row],[Performance_Status]]="Below Target",0.8,IF(Table5[[#This Row],[Performance_Status]]="Target Achieved",1,1.2))</f>
        <v>1.2</v>
      </c>
      <c r="H46" s="31">
        <f>Table5[[#This Row],[Sales]]*$K$2</f>
        <v>42500</v>
      </c>
    </row>
    <row r="47" spans="1:8" x14ac:dyDescent="0.25">
      <c r="A47" s="2" t="s">
        <v>25</v>
      </c>
      <c r="B47" s="2" t="s">
        <v>29</v>
      </c>
      <c r="C47" s="34">
        <v>1270000</v>
      </c>
      <c r="D47" s="34">
        <v>1300000</v>
      </c>
      <c r="E47" s="6">
        <f>Table5[[#This Row],[Sales]]/Table5[[#This Row],[Target]]</f>
        <v>0.97692307692307689</v>
      </c>
      <c r="F47" s="6" t="str">
        <f t="shared" si="1"/>
        <v>Below Target</v>
      </c>
      <c r="G47" s="29">
        <f>IF(Table5[[#This Row],[Performance_Status]]="Below Target",0.8,IF(Table5[[#This Row],[Performance_Status]]="Target Achieved",1,1.2))</f>
        <v>0.8</v>
      </c>
      <c r="H47" s="31">
        <f>Table5[[#This Row],[Sales]]*$K$2</f>
        <v>63500</v>
      </c>
    </row>
    <row r="48" spans="1:8" x14ac:dyDescent="0.25">
      <c r="A48" s="2" t="s">
        <v>45</v>
      </c>
      <c r="B48" s="2" t="s">
        <v>18</v>
      </c>
      <c r="C48" s="34">
        <v>1120000</v>
      </c>
      <c r="D48" s="34">
        <v>1200000</v>
      </c>
      <c r="E48" s="6">
        <f>Table5[[#This Row],[Sales]]/Table5[[#This Row],[Target]]</f>
        <v>0.93333333333333335</v>
      </c>
      <c r="F48" s="6" t="str">
        <f t="shared" si="1"/>
        <v>Below Target</v>
      </c>
      <c r="G48" s="29">
        <f>IF(Table5[[#This Row],[Performance_Status]]="Below Target",0.8,IF(Table5[[#This Row],[Performance_Status]]="Target Achieved",1,1.2))</f>
        <v>0.8</v>
      </c>
      <c r="H48" s="31">
        <f>Table5[[#This Row],[Sales]]*$K$2</f>
        <v>56000</v>
      </c>
    </row>
    <row r="49" spans="1:8" x14ac:dyDescent="0.25">
      <c r="A49" s="2" t="s">
        <v>32</v>
      </c>
      <c r="B49" s="2" t="s">
        <v>16</v>
      </c>
      <c r="C49" s="34">
        <v>870000</v>
      </c>
      <c r="D49" s="34">
        <v>900000</v>
      </c>
      <c r="E49" s="6">
        <f>Table5[[#This Row],[Sales]]/Table5[[#This Row],[Target]]</f>
        <v>0.96666666666666667</v>
      </c>
      <c r="F49" s="6" t="str">
        <f t="shared" si="1"/>
        <v>Below Target</v>
      </c>
      <c r="G49" s="29">
        <f>IF(Table5[[#This Row],[Performance_Status]]="Below Target",0.8,IF(Table5[[#This Row],[Performance_Status]]="Target Achieved",1,1.2))</f>
        <v>0.8</v>
      </c>
      <c r="H49" s="31">
        <f>Table5[[#This Row],[Sales]]*$K$2</f>
        <v>43500</v>
      </c>
    </row>
    <row r="50" spans="1:8" x14ac:dyDescent="0.25">
      <c r="A50" s="2" t="s">
        <v>37</v>
      </c>
      <c r="B50" s="2" t="s">
        <v>36</v>
      </c>
      <c r="C50" s="34">
        <v>1100000</v>
      </c>
      <c r="D50" s="34">
        <v>850000</v>
      </c>
      <c r="E50" s="6">
        <f>Table5[[#This Row],[Sales]]/Table5[[#This Row],[Target]]</f>
        <v>1.2941176470588236</v>
      </c>
      <c r="F50" s="6" t="str">
        <f t="shared" si="1"/>
        <v>Above Target</v>
      </c>
      <c r="G50" s="29">
        <f>IF(Table5[[#This Row],[Performance_Status]]="Below Target",0.8,IF(Table5[[#This Row],[Performance_Status]]="Target Achieved",1,1.2))</f>
        <v>1.2</v>
      </c>
      <c r="H50" s="31">
        <f>Table5[[#This Row],[Sales]]*$K$2</f>
        <v>55000</v>
      </c>
    </row>
    <row r="51" spans="1:8" x14ac:dyDescent="0.25">
      <c r="A51" s="2" t="s">
        <v>15</v>
      </c>
      <c r="B51" s="2" t="s">
        <v>46</v>
      </c>
      <c r="C51" s="34">
        <v>1000000</v>
      </c>
      <c r="D51" s="34">
        <v>1250000</v>
      </c>
      <c r="E51" s="6">
        <f>Table5[[#This Row],[Sales]]/Table5[[#This Row],[Target]]</f>
        <v>0.8</v>
      </c>
      <c r="F51" s="6" t="str">
        <f t="shared" si="1"/>
        <v>Below Target</v>
      </c>
      <c r="G51" s="29">
        <f>IF(Table5[[#This Row],[Performance_Status]]="Below Target",0.8,IF(Table5[[#This Row],[Performance_Status]]="Target Achieved",1,1.2))</f>
        <v>0.8</v>
      </c>
      <c r="H51" s="31">
        <f>Table5[[#This Row],[Sales]]*$K$2</f>
        <v>50000</v>
      </c>
    </row>
    <row r="52" spans="1:8" x14ac:dyDescent="0.25">
      <c r="A52" s="2" t="s">
        <v>8</v>
      </c>
      <c r="B52" s="2" t="s">
        <v>21</v>
      </c>
      <c r="C52" s="34">
        <v>1330000</v>
      </c>
      <c r="D52" s="34">
        <v>1050000</v>
      </c>
      <c r="E52" s="6">
        <f>Table5[[#This Row],[Sales]]/Table5[[#This Row],[Target]]</f>
        <v>1.2666666666666666</v>
      </c>
      <c r="F52" s="6" t="str">
        <f t="shared" si="1"/>
        <v>Above Target</v>
      </c>
      <c r="G52" s="29">
        <f>IF(Table5[[#This Row],[Performance_Status]]="Below Target",0.8,IF(Table5[[#This Row],[Performance_Status]]="Target Achieved",1,1.2))</f>
        <v>1.2</v>
      </c>
      <c r="H52" s="31">
        <f>Table5[[#This Row],[Sales]]*$K$2</f>
        <v>66500</v>
      </c>
    </row>
    <row r="53" spans="1:8" x14ac:dyDescent="0.25">
      <c r="A53" s="2" t="s">
        <v>38</v>
      </c>
      <c r="B53" s="2" t="s">
        <v>5</v>
      </c>
      <c r="C53" s="34">
        <v>620000</v>
      </c>
      <c r="D53" s="34">
        <v>850000</v>
      </c>
      <c r="E53" s="6">
        <f>Table5[[#This Row],[Sales]]/Table5[[#This Row],[Target]]</f>
        <v>0.72941176470588232</v>
      </c>
      <c r="F53" s="6" t="str">
        <f t="shared" si="1"/>
        <v>Below Target</v>
      </c>
      <c r="G53" s="29">
        <f>IF(Table5[[#This Row],[Performance_Status]]="Below Target",0.8,IF(Table5[[#This Row],[Performance_Status]]="Target Achieved",1,1.2))</f>
        <v>0.8</v>
      </c>
      <c r="H53" s="31">
        <f>Table5[[#This Row],[Sales]]*$K$2</f>
        <v>31000</v>
      </c>
    </row>
    <row r="54" spans="1:8" x14ac:dyDescent="0.25">
      <c r="A54" s="2" t="s">
        <v>19</v>
      </c>
      <c r="B54" s="2" t="s">
        <v>11</v>
      </c>
      <c r="C54" s="34">
        <v>1140000</v>
      </c>
      <c r="D54" s="34">
        <v>1150000</v>
      </c>
      <c r="E54" s="6">
        <f>Table5[[#This Row],[Sales]]/Table5[[#This Row],[Target]]</f>
        <v>0.99130434782608701</v>
      </c>
      <c r="F54" s="6" t="str">
        <f t="shared" si="1"/>
        <v>Below Target</v>
      </c>
      <c r="G54" s="29">
        <f>IF(Table5[[#This Row],[Performance_Status]]="Below Target",0.8,IF(Table5[[#This Row],[Performance_Status]]="Target Achieved",1,1.2))</f>
        <v>0.8</v>
      </c>
      <c r="H54" s="31">
        <f>Table5[[#This Row],[Sales]]*$K$2</f>
        <v>57000</v>
      </c>
    </row>
    <row r="55" spans="1:8" x14ac:dyDescent="0.25">
      <c r="A55" s="2" t="s">
        <v>13</v>
      </c>
      <c r="B55" s="2" t="s">
        <v>7</v>
      </c>
      <c r="C55" s="34">
        <v>420000</v>
      </c>
      <c r="D55" s="34">
        <v>700000</v>
      </c>
      <c r="E55" s="6">
        <f>Table5[[#This Row],[Sales]]/Table5[[#This Row],[Target]]</f>
        <v>0.6</v>
      </c>
      <c r="F55" s="6" t="str">
        <f t="shared" si="1"/>
        <v>Below Target</v>
      </c>
      <c r="G55" s="29">
        <f>IF(Table5[[#This Row],[Performance_Status]]="Below Target",0.8,IF(Table5[[#This Row],[Performance_Status]]="Target Achieved",1,1.2))</f>
        <v>0.8</v>
      </c>
      <c r="H55" s="31">
        <f>Table5[[#This Row],[Sales]]*$K$2</f>
        <v>21000</v>
      </c>
    </row>
    <row r="56" spans="1:8" x14ac:dyDescent="0.25">
      <c r="A56" s="2" t="s">
        <v>4</v>
      </c>
      <c r="B56" s="2" t="s">
        <v>27</v>
      </c>
      <c r="C56" s="34">
        <v>510000</v>
      </c>
      <c r="D56" s="34">
        <v>850000</v>
      </c>
      <c r="E56" s="6">
        <f>Table5[[#This Row],[Sales]]/Table5[[#This Row],[Target]]</f>
        <v>0.6</v>
      </c>
      <c r="F56" s="6" t="str">
        <f t="shared" si="1"/>
        <v>Below Target</v>
      </c>
      <c r="G56" s="29">
        <f>IF(Table5[[#This Row],[Performance_Status]]="Below Target",0.8,IF(Table5[[#This Row],[Performance_Status]]="Target Achieved",1,1.2))</f>
        <v>0.8</v>
      </c>
      <c r="H56" s="31">
        <f>Table5[[#This Row],[Sales]]*$K$2</f>
        <v>25500</v>
      </c>
    </row>
    <row r="57" spans="1:8" x14ac:dyDescent="0.25">
      <c r="A57" s="2" t="s">
        <v>10</v>
      </c>
      <c r="B57" s="2" t="s">
        <v>34</v>
      </c>
      <c r="C57" s="34">
        <v>720000</v>
      </c>
      <c r="D57" s="34">
        <v>750000</v>
      </c>
      <c r="E57" s="6">
        <f>Table5[[#This Row],[Sales]]/Table5[[#This Row],[Target]]</f>
        <v>0.96</v>
      </c>
      <c r="F57" s="6" t="str">
        <f t="shared" si="1"/>
        <v>Below Target</v>
      </c>
      <c r="G57" s="29">
        <f>IF(Table5[[#This Row],[Performance_Status]]="Below Target",0.8,IF(Table5[[#This Row],[Performance_Status]]="Target Achieved",1,1.2))</f>
        <v>0.8</v>
      </c>
      <c r="H57" s="31">
        <f>Table5[[#This Row],[Sales]]*$K$2</f>
        <v>36000</v>
      </c>
    </row>
    <row r="58" spans="1:8" x14ac:dyDescent="0.25">
      <c r="A58" s="2" t="s">
        <v>17</v>
      </c>
      <c r="B58" s="2" t="s">
        <v>43</v>
      </c>
      <c r="C58" s="34">
        <v>830000</v>
      </c>
      <c r="D58" s="34">
        <v>850000</v>
      </c>
      <c r="E58" s="6">
        <f>Table5[[#This Row],[Sales]]/Table5[[#This Row],[Target]]</f>
        <v>0.97647058823529409</v>
      </c>
      <c r="F58" s="6" t="str">
        <f t="shared" si="1"/>
        <v>Below Target</v>
      </c>
      <c r="G58" s="29">
        <f>IF(Table5[[#This Row],[Performance_Status]]="Below Target",0.8,IF(Table5[[#This Row],[Performance_Status]]="Target Achieved",1,1.2))</f>
        <v>0.8</v>
      </c>
      <c r="H58" s="31">
        <f>Table5[[#This Row],[Sales]]*$K$2</f>
        <v>41500</v>
      </c>
    </row>
    <row r="59" spans="1:8" x14ac:dyDescent="0.25">
      <c r="A59" s="2" t="s">
        <v>47</v>
      </c>
      <c r="B59" s="2" t="s">
        <v>43</v>
      </c>
      <c r="C59" s="34">
        <v>1000000</v>
      </c>
      <c r="D59" s="34">
        <v>850000</v>
      </c>
      <c r="E59" s="6">
        <f>Table5[[#This Row],[Sales]]/Table5[[#This Row],[Target]]</f>
        <v>1.1764705882352942</v>
      </c>
      <c r="F59" s="6" t="str">
        <f t="shared" si="1"/>
        <v>Above Target</v>
      </c>
      <c r="G59" s="29">
        <f>IF(Table5[[#This Row],[Performance_Status]]="Below Target",0.8,IF(Table5[[#This Row],[Performance_Status]]="Target Achieved",1,1.2))</f>
        <v>1.2</v>
      </c>
      <c r="H59" s="31">
        <f>Table5[[#This Row],[Sales]]*$K$2</f>
        <v>50000</v>
      </c>
    </row>
    <row r="60" spans="1:8" x14ac:dyDescent="0.25">
      <c r="A60" s="2" t="s">
        <v>33</v>
      </c>
      <c r="B60" s="2" t="s">
        <v>36</v>
      </c>
      <c r="C60" s="34">
        <v>530000</v>
      </c>
      <c r="D60" s="34">
        <v>850000</v>
      </c>
      <c r="E60" s="6">
        <f>Table5[[#This Row],[Sales]]/Table5[[#This Row],[Target]]</f>
        <v>0.62352941176470589</v>
      </c>
      <c r="F60" s="6" t="str">
        <f t="shared" si="1"/>
        <v>Below Target</v>
      </c>
      <c r="G60" s="29">
        <f>IF(Table5[[#This Row],[Performance_Status]]="Below Target",0.8,IF(Table5[[#This Row],[Performance_Status]]="Target Achieved",1,1.2))</f>
        <v>0.8</v>
      </c>
      <c r="H60" s="31">
        <f>Table5[[#This Row],[Sales]]*$K$2</f>
        <v>26500</v>
      </c>
    </row>
    <row r="61" spans="1:8" x14ac:dyDescent="0.25">
      <c r="A61" s="2" t="s">
        <v>8</v>
      </c>
      <c r="B61" s="2" t="s">
        <v>36</v>
      </c>
      <c r="C61" s="34">
        <v>840000</v>
      </c>
      <c r="D61" s="34">
        <v>950000</v>
      </c>
      <c r="E61" s="6">
        <f>Table5[[#This Row],[Sales]]/Table5[[#This Row],[Target]]</f>
        <v>0.88421052631578945</v>
      </c>
      <c r="F61" s="6" t="str">
        <f t="shared" si="1"/>
        <v>Below Target</v>
      </c>
      <c r="G61" s="29">
        <f>IF(Table5[[#This Row],[Performance_Status]]="Below Target",0.8,IF(Table5[[#This Row],[Performance_Status]]="Target Achieved",1,1.2))</f>
        <v>0.8</v>
      </c>
      <c r="H61" s="31">
        <f>Table5[[#This Row],[Sales]]*$K$2</f>
        <v>42000</v>
      </c>
    </row>
    <row r="62" spans="1:8" x14ac:dyDescent="0.25">
      <c r="A62" s="2" t="s">
        <v>38</v>
      </c>
      <c r="B62" s="2" t="s">
        <v>27</v>
      </c>
      <c r="C62" s="34">
        <v>1290000</v>
      </c>
      <c r="D62" s="34">
        <v>1200000</v>
      </c>
      <c r="E62" s="6">
        <f>Table5[[#This Row],[Sales]]/Table5[[#This Row],[Target]]</f>
        <v>1.075</v>
      </c>
      <c r="F62" s="6" t="str">
        <f t="shared" si="1"/>
        <v>Above Target</v>
      </c>
      <c r="G62" s="29">
        <f>IF(Table5[[#This Row],[Performance_Status]]="Below Target",0.8,IF(Table5[[#This Row],[Performance_Status]]="Target Achieved",1,1.2))</f>
        <v>1.2</v>
      </c>
      <c r="H62" s="31">
        <f>Table5[[#This Row],[Sales]]*$K$2</f>
        <v>64500</v>
      </c>
    </row>
    <row r="63" spans="1:8" x14ac:dyDescent="0.25">
      <c r="A63" s="2" t="s">
        <v>4</v>
      </c>
      <c r="B63" s="2" t="s">
        <v>5</v>
      </c>
      <c r="C63" s="34">
        <v>610000</v>
      </c>
      <c r="D63" s="34">
        <v>700000</v>
      </c>
      <c r="E63" s="6">
        <f>Table5[[#This Row],[Sales]]/Table5[[#This Row],[Target]]</f>
        <v>0.87142857142857144</v>
      </c>
      <c r="F63" s="6" t="str">
        <f t="shared" si="1"/>
        <v>Below Target</v>
      </c>
      <c r="G63" s="29">
        <f>IF(Table5[[#This Row],[Performance_Status]]="Below Target",0.8,IF(Table5[[#This Row],[Performance_Status]]="Target Achieved",1,1.2))</f>
        <v>0.8</v>
      </c>
      <c r="H63" s="31">
        <f>Table5[[#This Row],[Sales]]*$K$2</f>
        <v>30500</v>
      </c>
    </row>
    <row r="64" spans="1:8" x14ac:dyDescent="0.25">
      <c r="A64" s="2" t="s">
        <v>19</v>
      </c>
      <c r="B64" s="2" t="s">
        <v>5</v>
      </c>
      <c r="C64" s="34">
        <v>600000</v>
      </c>
      <c r="D64" s="34">
        <v>850000</v>
      </c>
      <c r="E64" s="6">
        <f>Table5[[#This Row],[Sales]]/Table5[[#This Row],[Target]]</f>
        <v>0.70588235294117652</v>
      </c>
      <c r="F64" s="6" t="str">
        <f t="shared" si="1"/>
        <v>Below Target</v>
      </c>
      <c r="G64" s="29">
        <f>IF(Table5[[#This Row],[Performance_Status]]="Below Target",0.8,IF(Table5[[#This Row],[Performance_Status]]="Target Achieved",1,1.2))</f>
        <v>0.8</v>
      </c>
      <c r="H64" s="31">
        <f>Table5[[#This Row],[Sales]]*$K$2</f>
        <v>30000</v>
      </c>
    </row>
    <row r="65" spans="1:8" x14ac:dyDescent="0.25">
      <c r="A65" s="2" t="s">
        <v>32</v>
      </c>
      <c r="B65" s="2" t="s">
        <v>22</v>
      </c>
      <c r="C65" s="34">
        <v>710000</v>
      </c>
      <c r="D65" s="34">
        <v>800000</v>
      </c>
      <c r="E65" s="6">
        <f>Table5[[#This Row],[Sales]]/Table5[[#This Row],[Target]]</f>
        <v>0.88749999999999996</v>
      </c>
      <c r="F65" s="6" t="str">
        <f t="shared" si="1"/>
        <v>Below Target</v>
      </c>
      <c r="G65" s="29">
        <f>IF(Table5[[#This Row],[Performance_Status]]="Below Target",0.8,IF(Table5[[#This Row],[Performance_Status]]="Target Achieved",1,1.2))</f>
        <v>0.8</v>
      </c>
      <c r="H65" s="31">
        <f>Table5[[#This Row],[Sales]]*$K$2</f>
        <v>35500</v>
      </c>
    </row>
    <row r="66" spans="1:8" x14ac:dyDescent="0.25">
      <c r="A66" s="2" t="s">
        <v>17</v>
      </c>
      <c r="B66" s="2" t="s">
        <v>22</v>
      </c>
      <c r="C66" s="34">
        <v>1060000</v>
      </c>
      <c r="D66" s="34">
        <v>850000</v>
      </c>
      <c r="E66" s="6">
        <f>Table5[[#This Row],[Sales]]/Table5[[#This Row],[Target]]</f>
        <v>1.2470588235294118</v>
      </c>
      <c r="F66" s="6" t="str">
        <f t="shared" ref="F66:F97" si="2">IF(E66&lt;100%,"Below Target",IF(E66=100%,"Target Achieved","Above Target"))</f>
        <v>Above Target</v>
      </c>
      <c r="G66" s="29">
        <f>IF(Table5[[#This Row],[Performance_Status]]="Below Target",0.8,IF(Table5[[#This Row],[Performance_Status]]="Target Achieved",1,1.2))</f>
        <v>1.2</v>
      </c>
      <c r="H66" s="31">
        <f>Table5[[#This Row],[Sales]]*$K$2</f>
        <v>53000</v>
      </c>
    </row>
    <row r="67" spans="1:8" x14ac:dyDescent="0.25">
      <c r="A67" s="2" t="s">
        <v>26</v>
      </c>
      <c r="B67" s="2" t="s">
        <v>22</v>
      </c>
      <c r="C67" s="34">
        <v>1610000</v>
      </c>
      <c r="D67" s="34">
        <v>1300000</v>
      </c>
      <c r="E67" s="6">
        <f>Table5[[#This Row],[Sales]]/Table5[[#This Row],[Target]]</f>
        <v>1.2384615384615385</v>
      </c>
      <c r="F67" s="6" t="str">
        <f t="shared" si="2"/>
        <v>Above Target</v>
      </c>
      <c r="G67" s="29">
        <f>IF(Table5[[#This Row],[Performance_Status]]="Below Target",0.8,IF(Table5[[#This Row],[Performance_Status]]="Target Achieved",1,1.2))</f>
        <v>1.2</v>
      </c>
      <c r="H67" s="31">
        <f>Table5[[#This Row],[Sales]]*$K$2</f>
        <v>80500</v>
      </c>
    </row>
    <row r="68" spans="1:8" x14ac:dyDescent="0.25">
      <c r="A68" s="2" t="s">
        <v>32</v>
      </c>
      <c r="B68" s="2" t="s">
        <v>5</v>
      </c>
      <c r="C68" s="34">
        <v>750000</v>
      </c>
      <c r="D68" s="34">
        <v>700000</v>
      </c>
      <c r="E68" s="6">
        <f>Table5[[#This Row],[Sales]]/Table5[[#This Row],[Target]]</f>
        <v>1.0714285714285714</v>
      </c>
      <c r="F68" s="6" t="str">
        <f t="shared" si="2"/>
        <v>Above Target</v>
      </c>
      <c r="G68" s="29">
        <f>IF(Table5[[#This Row],[Performance_Status]]="Below Target",0.8,IF(Table5[[#This Row],[Performance_Status]]="Target Achieved",1,1.2))</f>
        <v>1.2</v>
      </c>
      <c r="H68" s="31">
        <f>Table5[[#This Row],[Sales]]*$K$2</f>
        <v>37500</v>
      </c>
    </row>
    <row r="69" spans="1:8" x14ac:dyDescent="0.25">
      <c r="A69" s="2" t="s">
        <v>32</v>
      </c>
      <c r="B69" s="2" t="s">
        <v>11</v>
      </c>
      <c r="C69" s="34">
        <v>970000</v>
      </c>
      <c r="D69" s="34">
        <v>750000</v>
      </c>
      <c r="E69" s="6">
        <f>Table5[[#This Row],[Sales]]/Table5[[#This Row],[Target]]</f>
        <v>1.2933333333333332</v>
      </c>
      <c r="F69" s="6" t="str">
        <f t="shared" si="2"/>
        <v>Above Target</v>
      </c>
      <c r="G69" s="29">
        <f>IF(Table5[[#This Row],[Performance_Status]]="Below Target",0.8,IF(Table5[[#This Row],[Performance_Status]]="Target Achieved",1,1.2))</f>
        <v>1.2</v>
      </c>
      <c r="H69" s="31">
        <f>Table5[[#This Row],[Sales]]*$K$2</f>
        <v>48500</v>
      </c>
    </row>
    <row r="70" spans="1:8" x14ac:dyDescent="0.25">
      <c r="A70" s="2" t="s">
        <v>40</v>
      </c>
      <c r="B70" s="2" t="s">
        <v>7</v>
      </c>
      <c r="C70" s="34">
        <v>700000</v>
      </c>
      <c r="D70" s="34">
        <v>800000</v>
      </c>
      <c r="E70" s="6">
        <f>Table5[[#This Row],[Sales]]/Table5[[#This Row],[Target]]</f>
        <v>0.875</v>
      </c>
      <c r="F70" s="6" t="str">
        <f t="shared" si="2"/>
        <v>Below Target</v>
      </c>
      <c r="G70" s="29">
        <f>IF(Table5[[#This Row],[Performance_Status]]="Below Target",0.8,IF(Table5[[#This Row],[Performance_Status]]="Target Achieved",1,1.2))</f>
        <v>0.8</v>
      </c>
      <c r="H70" s="31">
        <f>Table5[[#This Row],[Sales]]*$K$2</f>
        <v>35000</v>
      </c>
    </row>
    <row r="71" spans="1:8" x14ac:dyDescent="0.25">
      <c r="A71" s="2" t="s">
        <v>48</v>
      </c>
      <c r="B71" s="2" t="s">
        <v>46</v>
      </c>
      <c r="C71" s="34">
        <v>1180000</v>
      </c>
      <c r="D71" s="34">
        <v>1350000</v>
      </c>
      <c r="E71" s="6">
        <f>Table5[[#This Row],[Sales]]/Table5[[#This Row],[Target]]</f>
        <v>0.87407407407407411</v>
      </c>
      <c r="F71" s="6" t="str">
        <f t="shared" si="2"/>
        <v>Below Target</v>
      </c>
      <c r="G71" s="29">
        <f>IF(Table5[[#This Row],[Performance_Status]]="Below Target",0.8,IF(Table5[[#This Row],[Performance_Status]]="Target Achieved",1,1.2))</f>
        <v>0.8</v>
      </c>
      <c r="H71" s="31">
        <f>Table5[[#This Row],[Sales]]*$K$2</f>
        <v>59000</v>
      </c>
    </row>
    <row r="72" spans="1:8" x14ac:dyDescent="0.25">
      <c r="A72" s="2" t="s">
        <v>10</v>
      </c>
      <c r="B72" s="2" t="s">
        <v>16</v>
      </c>
      <c r="C72" s="34">
        <v>550000</v>
      </c>
      <c r="D72" s="34">
        <v>1000000</v>
      </c>
      <c r="E72" s="6">
        <f>Table5[[#This Row],[Sales]]/Table5[[#This Row],[Target]]</f>
        <v>0.55000000000000004</v>
      </c>
      <c r="F72" s="6" t="str">
        <f t="shared" si="2"/>
        <v>Below Target</v>
      </c>
      <c r="G72" s="29">
        <f>IF(Table5[[#This Row],[Performance_Status]]="Below Target",0.8,IF(Table5[[#This Row],[Performance_Status]]="Target Achieved",1,1.2))</f>
        <v>0.8</v>
      </c>
      <c r="H72" s="31">
        <f>Table5[[#This Row],[Sales]]*$K$2</f>
        <v>27500</v>
      </c>
    </row>
    <row r="73" spans="1:8" x14ac:dyDescent="0.25">
      <c r="A73" s="2" t="s">
        <v>35</v>
      </c>
      <c r="B73" s="2" t="s">
        <v>14</v>
      </c>
      <c r="C73" s="34">
        <v>1650000</v>
      </c>
      <c r="D73" s="34">
        <v>1400000</v>
      </c>
      <c r="E73" s="6">
        <f>Table5[[#This Row],[Sales]]/Table5[[#This Row],[Target]]</f>
        <v>1.1785714285714286</v>
      </c>
      <c r="F73" s="6" t="str">
        <f t="shared" si="2"/>
        <v>Above Target</v>
      </c>
      <c r="G73" s="29">
        <f>IF(Table5[[#This Row],[Performance_Status]]="Below Target",0.8,IF(Table5[[#This Row],[Performance_Status]]="Target Achieved",1,1.2))</f>
        <v>1.2</v>
      </c>
      <c r="H73" s="31">
        <f>Table5[[#This Row],[Sales]]*$K$2</f>
        <v>82500</v>
      </c>
    </row>
    <row r="74" spans="1:8" x14ac:dyDescent="0.25">
      <c r="A74" s="2" t="s">
        <v>38</v>
      </c>
      <c r="B74" s="2" t="s">
        <v>44</v>
      </c>
      <c r="C74" s="34">
        <v>1110000</v>
      </c>
      <c r="D74" s="34">
        <v>1000000</v>
      </c>
      <c r="E74" s="6">
        <f>Table5[[#This Row],[Sales]]/Table5[[#This Row],[Target]]</f>
        <v>1.1100000000000001</v>
      </c>
      <c r="F74" s="6" t="str">
        <f t="shared" si="2"/>
        <v>Above Target</v>
      </c>
      <c r="G74" s="29">
        <f>IF(Table5[[#This Row],[Performance_Status]]="Below Target",0.8,IF(Table5[[#This Row],[Performance_Status]]="Target Achieved",1,1.2))</f>
        <v>1.2</v>
      </c>
      <c r="H74" s="31">
        <f>Table5[[#This Row],[Sales]]*$K$2</f>
        <v>55500</v>
      </c>
    </row>
    <row r="75" spans="1:8" x14ac:dyDescent="0.25">
      <c r="A75" s="2" t="s">
        <v>47</v>
      </c>
      <c r="B75" s="2" t="s">
        <v>9</v>
      </c>
      <c r="C75" s="34">
        <v>1350000</v>
      </c>
      <c r="D75" s="34">
        <v>1200000</v>
      </c>
      <c r="E75" s="6">
        <f>Table5[[#This Row],[Sales]]/Table5[[#This Row],[Target]]</f>
        <v>1.125</v>
      </c>
      <c r="F75" s="6" t="str">
        <f t="shared" si="2"/>
        <v>Above Target</v>
      </c>
      <c r="G75" s="29">
        <f>IF(Table5[[#This Row],[Performance_Status]]="Below Target",0.8,IF(Table5[[#This Row],[Performance_Status]]="Target Achieved",1,1.2))</f>
        <v>1.2</v>
      </c>
      <c r="H75" s="31">
        <f>Table5[[#This Row],[Sales]]*$K$2</f>
        <v>67500</v>
      </c>
    </row>
    <row r="76" spans="1:8" x14ac:dyDescent="0.25">
      <c r="A76" s="2" t="s">
        <v>45</v>
      </c>
      <c r="B76" s="2" t="s">
        <v>46</v>
      </c>
      <c r="C76" s="34">
        <v>650000</v>
      </c>
      <c r="D76" s="34">
        <v>900000</v>
      </c>
      <c r="E76" s="6">
        <f>Table5[[#This Row],[Sales]]/Table5[[#This Row],[Target]]</f>
        <v>0.72222222222222221</v>
      </c>
      <c r="F76" s="6" t="str">
        <f t="shared" si="2"/>
        <v>Below Target</v>
      </c>
      <c r="G76" s="29">
        <f>IF(Table5[[#This Row],[Performance_Status]]="Below Target",0.8,IF(Table5[[#This Row],[Performance_Status]]="Target Achieved",1,1.2))</f>
        <v>0.8</v>
      </c>
      <c r="H76" s="31">
        <f>Table5[[#This Row],[Sales]]*$K$2</f>
        <v>32500</v>
      </c>
    </row>
    <row r="77" spans="1:8" x14ac:dyDescent="0.25">
      <c r="A77" s="2" t="s">
        <v>10</v>
      </c>
      <c r="B77" s="2" t="s">
        <v>9</v>
      </c>
      <c r="C77" s="34">
        <v>800000</v>
      </c>
      <c r="D77" s="34">
        <v>700000</v>
      </c>
      <c r="E77" s="6">
        <f>Table5[[#This Row],[Sales]]/Table5[[#This Row],[Target]]</f>
        <v>1.1428571428571428</v>
      </c>
      <c r="F77" s="6" t="str">
        <f t="shared" si="2"/>
        <v>Above Target</v>
      </c>
      <c r="G77" s="29">
        <f>IF(Table5[[#This Row],[Performance_Status]]="Below Target",0.8,IF(Table5[[#This Row],[Performance_Status]]="Target Achieved",1,1.2))</f>
        <v>1.2</v>
      </c>
      <c r="H77" s="31">
        <f>Table5[[#This Row],[Sales]]*$K$2</f>
        <v>40000</v>
      </c>
    </row>
    <row r="78" spans="1:8" x14ac:dyDescent="0.25">
      <c r="A78" s="2" t="s">
        <v>10</v>
      </c>
      <c r="B78" s="2" t="s">
        <v>27</v>
      </c>
      <c r="C78" s="34">
        <v>1070000</v>
      </c>
      <c r="D78" s="34">
        <v>1150000</v>
      </c>
      <c r="E78" s="6">
        <f>Table5[[#This Row],[Sales]]/Table5[[#This Row],[Target]]</f>
        <v>0.93043478260869561</v>
      </c>
      <c r="F78" s="6" t="str">
        <f t="shared" si="2"/>
        <v>Below Target</v>
      </c>
      <c r="G78" s="29">
        <f>IF(Table5[[#This Row],[Performance_Status]]="Below Target",0.8,IF(Table5[[#This Row],[Performance_Status]]="Target Achieved",1,1.2))</f>
        <v>0.8</v>
      </c>
      <c r="H78" s="31">
        <f>Table5[[#This Row],[Sales]]*$K$2</f>
        <v>53500</v>
      </c>
    </row>
    <row r="79" spans="1:8" x14ac:dyDescent="0.25">
      <c r="A79" s="2" t="s">
        <v>23</v>
      </c>
      <c r="B79" s="2" t="s">
        <v>39</v>
      </c>
      <c r="C79" s="34">
        <v>480000</v>
      </c>
      <c r="D79" s="34">
        <v>800000</v>
      </c>
      <c r="E79" s="6">
        <f>Table5[[#This Row],[Sales]]/Table5[[#This Row],[Target]]</f>
        <v>0.6</v>
      </c>
      <c r="F79" s="6" t="str">
        <f t="shared" si="2"/>
        <v>Below Target</v>
      </c>
      <c r="G79" s="29">
        <f>IF(Table5[[#This Row],[Performance_Status]]="Below Target",0.8,IF(Table5[[#This Row],[Performance_Status]]="Target Achieved",1,1.2))</f>
        <v>0.8</v>
      </c>
      <c r="H79" s="31">
        <f>Table5[[#This Row],[Sales]]*$K$2</f>
        <v>24000</v>
      </c>
    </row>
    <row r="80" spans="1:8" x14ac:dyDescent="0.25">
      <c r="A80" s="2" t="s">
        <v>12</v>
      </c>
      <c r="B80" s="2" t="s">
        <v>29</v>
      </c>
      <c r="C80" s="34">
        <v>940000</v>
      </c>
      <c r="D80" s="34">
        <v>1350000</v>
      </c>
      <c r="E80" s="6">
        <f>Table5[[#This Row],[Sales]]/Table5[[#This Row],[Target]]</f>
        <v>0.6962962962962963</v>
      </c>
      <c r="F80" s="6" t="str">
        <f t="shared" si="2"/>
        <v>Below Target</v>
      </c>
      <c r="G80" s="29">
        <f>IF(Table5[[#This Row],[Performance_Status]]="Below Target",0.8,IF(Table5[[#This Row],[Performance_Status]]="Target Achieved",1,1.2))</f>
        <v>0.8</v>
      </c>
      <c r="H80" s="31">
        <f>Table5[[#This Row],[Sales]]*$K$2</f>
        <v>47000</v>
      </c>
    </row>
    <row r="81" spans="1:8" x14ac:dyDescent="0.25">
      <c r="A81" s="2" t="s">
        <v>37</v>
      </c>
      <c r="B81" s="2" t="s">
        <v>29</v>
      </c>
      <c r="C81" s="34">
        <v>1490000</v>
      </c>
      <c r="D81" s="34">
        <v>1200000</v>
      </c>
      <c r="E81" s="6">
        <f>Table5[[#This Row],[Sales]]/Table5[[#This Row],[Target]]</f>
        <v>1.2416666666666667</v>
      </c>
      <c r="F81" s="6" t="str">
        <f t="shared" si="2"/>
        <v>Above Target</v>
      </c>
      <c r="G81" s="29">
        <f>IF(Table5[[#This Row],[Performance_Status]]="Below Target",0.8,IF(Table5[[#This Row],[Performance_Status]]="Target Achieved",1,1.2))</f>
        <v>1.2</v>
      </c>
      <c r="H81" s="31">
        <f>Table5[[#This Row],[Sales]]*$K$2</f>
        <v>74500</v>
      </c>
    </row>
    <row r="82" spans="1:8" x14ac:dyDescent="0.25">
      <c r="A82" s="2" t="s">
        <v>35</v>
      </c>
      <c r="B82" s="2" t="s">
        <v>5</v>
      </c>
      <c r="C82" s="34">
        <v>1410000</v>
      </c>
      <c r="D82" s="34">
        <v>1400000</v>
      </c>
      <c r="E82" s="6">
        <f>Table5[[#This Row],[Sales]]/Table5[[#This Row],[Target]]</f>
        <v>1.0071428571428571</v>
      </c>
      <c r="F82" s="6" t="str">
        <f t="shared" si="2"/>
        <v>Above Target</v>
      </c>
      <c r="G82" s="29">
        <f>IF(Table5[[#This Row],[Performance_Status]]="Below Target",0.8,IF(Table5[[#This Row],[Performance_Status]]="Target Achieved",1,1.2))</f>
        <v>1.2</v>
      </c>
      <c r="H82" s="31">
        <f>Table5[[#This Row],[Sales]]*$K$2</f>
        <v>70500</v>
      </c>
    </row>
    <row r="83" spans="1:8" x14ac:dyDescent="0.25">
      <c r="A83" s="2" t="s">
        <v>13</v>
      </c>
      <c r="B83" s="2" t="s">
        <v>27</v>
      </c>
      <c r="C83" s="34">
        <v>710000</v>
      </c>
      <c r="D83" s="34">
        <v>1150000</v>
      </c>
      <c r="E83" s="6">
        <f>Table5[[#This Row],[Sales]]/Table5[[#This Row],[Target]]</f>
        <v>0.61739130434782608</v>
      </c>
      <c r="F83" s="6" t="str">
        <f t="shared" si="2"/>
        <v>Below Target</v>
      </c>
      <c r="G83" s="29">
        <f>IF(Table5[[#This Row],[Performance_Status]]="Below Target",0.8,IF(Table5[[#This Row],[Performance_Status]]="Target Achieved",1,1.2))</f>
        <v>0.8</v>
      </c>
      <c r="H83" s="31">
        <f>Table5[[#This Row],[Sales]]*$K$2</f>
        <v>35500</v>
      </c>
    </row>
    <row r="84" spans="1:8" x14ac:dyDescent="0.25">
      <c r="A84" s="2" t="s">
        <v>8</v>
      </c>
      <c r="B84" s="2" t="s">
        <v>39</v>
      </c>
      <c r="C84" s="34">
        <v>1230000</v>
      </c>
      <c r="D84" s="34">
        <v>950000</v>
      </c>
      <c r="E84" s="6">
        <f>Table5[[#This Row],[Sales]]/Table5[[#This Row],[Target]]</f>
        <v>1.2947368421052632</v>
      </c>
      <c r="F84" s="6" t="str">
        <f t="shared" si="2"/>
        <v>Above Target</v>
      </c>
      <c r="G84" s="29">
        <f>IF(Table5[[#This Row],[Performance_Status]]="Below Target",0.8,IF(Table5[[#This Row],[Performance_Status]]="Target Achieved",1,1.2))</f>
        <v>1.2</v>
      </c>
      <c r="H84" s="31">
        <f>Table5[[#This Row],[Sales]]*$K$2</f>
        <v>61500</v>
      </c>
    </row>
    <row r="85" spans="1:8" x14ac:dyDescent="0.25">
      <c r="A85" s="2" t="s">
        <v>31</v>
      </c>
      <c r="B85" s="2" t="s">
        <v>34</v>
      </c>
      <c r="C85" s="34">
        <v>650000</v>
      </c>
      <c r="D85" s="34">
        <v>850000</v>
      </c>
      <c r="E85" s="6">
        <f>Table5[[#This Row],[Sales]]/Table5[[#This Row],[Target]]</f>
        <v>0.76470588235294112</v>
      </c>
      <c r="F85" s="6" t="str">
        <f t="shared" si="2"/>
        <v>Below Target</v>
      </c>
      <c r="G85" s="29">
        <f>IF(Table5[[#This Row],[Performance_Status]]="Below Target",0.8,IF(Table5[[#This Row],[Performance_Status]]="Target Achieved",1,1.2))</f>
        <v>0.8</v>
      </c>
      <c r="H85" s="31">
        <f>Table5[[#This Row],[Sales]]*$K$2</f>
        <v>32500</v>
      </c>
    </row>
    <row r="86" spans="1:8" x14ac:dyDescent="0.25">
      <c r="A86" s="2" t="s">
        <v>45</v>
      </c>
      <c r="B86" s="2" t="s">
        <v>44</v>
      </c>
      <c r="C86" s="34">
        <v>840000</v>
      </c>
      <c r="D86" s="34">
        <v>1050000</v>
      </c>
      <c r="E86" s="6">
        <f>Table5[[#This Row],[Sales]]/Table5[[#This Row],[Target]]</f>
        <v>0.8</v>
      </c>
      <c r="F86" s="6" t="str">
        <f t="shared" si="2"/>
        <v>Below Target</v>
      </c>
      <c r="G86" s="29">
        <f>IF(Table5[[#This Row],[Performance_Status]]="Below Target",0.8,IF(Table5[[#This Row],[Performance_Status]]="Target Achieved",1,1.2))</f>
        <v>0.8</v>
      </c>
      <c r="H86" s="31">
        <f>Table5[[#This Row],[Sales]]*$K$2</f>
        <v>42000</v>
      </c>
    </row>
    <row r="87" spans="1:8" x14ac:dyDescent="0.25">
      <c r="A87" s="2" t="s">
        <v>15</v>
      </c>
      <c r="B87" s="2" t="s">
        <v>29</v>
      </c>
      <c r="C87" s="34">
        <v>640000</v>
      </c>
      <c r="D87" s="34">
        <v>700000</v>
      </c>
      <c r="E87" s="6">
        <f>Table5[[#This Row],[Sales]]/Table5[[#This Row],[Target]]</f>
        <v>0.91428571428571426</v>
      </c>
      <c r="F87" s="6" t="str">
        <f t="shared" si="2"/>
        <v>Below Target</v>
      </c>
      <c r="G87" s="29">
        <f>IF(Table5[[#This Row],[Performance_Status]]="Below Target",0.8,IF(Table5[[#This Row],[Performance_Status]]="Target Achieved",1,1.2))</f>
        <v>0.8</v>
      </c>
      <c r="H87" s="31">
        <f>Table5[[#This Row],[Sales]]*$K$2</f>
        <v>32000</v>
      </c>
    </row>
    <row r="88" spans="1:8" x14ac:dyDescent="0.25">
      <c r="A88" s="2" t="s">
        <v>13</v>
      </c>
      <c r="B88" s="2" t="s">
        <v>5</v>
      </c>
      <c r="C88" s="34">
        <v>740000</v>
      </c>
      <c r="D88" s="34">
        <v>750000</v>
      </c>
      <c r="E88" s="6">
        <f>Table5[[#This Row],[Sales]]/Table5[[#This Row],[Target]]</f>
        <v>0.98666666666666669</v>
      </c>
      <c r="F88" s="6" t="str">
        <f t="shared" si="2"/>
        <v>Below Target</v>
      </c>
      <c r="G88" s="29">
        <f>IF(Table5[[#This Row],[Performance_Status]]="Below Target",0.8,IF(Table5[[#This Row],[Performance_Status]]="Target Achieved",1,1.2))</f>
        <v>0.8</v>
      </c>
      <c r="H88" s="31">
        <f>Table5[[#This Row],[Sales]]*$K$2</f>
        <v>37000</v>
      </c>
    </row>
    <row r="89" spans="1:8" x14ac:dyDescent="0.25">
      <c r="A89" s="2" t="s">
        <v>12</v>
      </c>
      <c r="B89" s="2" t="s">
        <v>14</v>
      </c>
      <c r="C89" s="34">
        <v>1040000</v>
      </c>
      <c r="D89" s="34">
        <v>800000</v>
      </c>
      <c r="E89" s="6">
        <f>Table5[[#This Row],[Sales]]/Table5[[#This Row],[Target]]</f>
        <v>1.3</v>
      </c>
      <c r="F89" s="6" t="str">
        <f t="shared" si="2"/>
        <v>Above Target</v>
      </c>
      <c r="G89" s="29">
        <f>IF(Table5[[#This Row],[Performance_Status]]="Below Target",0.8,IF(Table5[[#This Row],[Performance_Status]]="Target Achieved",1,1.2))</f>
        <v>1.2</v>
      </c>
      <c r="H89" s="31">
        <f>Table5[[#This Row],[Sales]]*$K$2</f>
        <v>52000</v>
      </c>
    </row>
    <row r="90" spans="1:8" x14ac:dyDescent="0.25">
      <c r="A90" s="2" t="s">
        <v>42</v>
      </c>
      <c r="B90" s="2" t="s">
        <v>29</v>
      </c>
      <c r="C90" s="34">
        <v>1040000</v>
      </c>
      <c r="D90" s="34">
        <v>1400000</v>
      </c>
      <c r="E90" s="6">
        <f>Table5[[#This Row],[Sales]]/Table5[[#This Row],[Target]]</f>
        <v>0.74285714285714288</v>
      </c>
      <c r="F90" s="6" t="str">
        <f t="shared" si="2"/>
        <v>Below Target</v>
      </c>
      <c r="G90" s="29">
        <f>IF(Table5[[#This Row],[Performance_Status]]="Below Target",0.8,IF(Table5[[#This Row],[Performance_Status]]="Target Achieved",1,1.2))</f>
        <v>0.8</v>
      </c>
      <c r="H90" s="31">
        <f>Table5[[#This Row],[Sales]]*$K$2</f>
        <v>52000</v>
      </c>
    </row>
    <row r="91" spans="1:8" x14ac:dyDescent="0.25">
      <c r="A91" s="2" t="s">
        <v>28</v>
      </c>
      <c r="B91" s="2" t="s">
        <v>16</v>
      </c>
      <c r="C91" s="34">
        <v>1280000</v>
      </c>
      <c r="D91" s="34">
        <v>1050000</v>
      </c>
      <c r="E91" s="6">
        <f>Table5[[#This Row],[Sales]]/Table5[[#This Row],[Target]]</f>
        <v>1.2190476190476192</v>
      </c>
      <c r="F91" s="6" t="str">
        <f t="shared" si="2"/>
        <v>Above Target</v>
      </c>
      <c r="G91" s="29">
        <f>IF(Table5[[#This Row],[Performance_Status]]="Below Target",0.8,IF(Table5[[#This Row],[Performance_Status]]="Target Achieved",1,1.2))</f>
        <v>1.2</v>
      </c>
      <c r="H91" s="31">
        <f>Table5[[#This Row],[Sales]]*$K$2</f>
        <v>64000</v>
      </c>
    </row>
    <row r="92" spans="1:8" x14ac:dyDescent="0.25">
      <c r="A92" s="2" t="s">
        <v>49</v>
      </c>
      <c r="B92" s="2" t="s">
        <v>44</v>
      </c>
      <c r="C92" s="34">
        <v>1540000</v>
      </c>
      <c r="D92" s="34">
        <v>1150000</v>
      </c>
      <c r="E92" s="6">
        <f>Table5[[#This Row],[Sales]]/Table5[[#This Row],[Target]]</f>
        <v>1.3391304347826087</v>
      </c>
      <c r="F92" s="6" t="str">
        <f t="shared" si="2"/>
        <v>Above Target</v>
      </c>
      <c r="G92" s="29">
        <f>IF(Table5[[#This Row],[Performance_Status]]="Below Target",0.8,IF(Table5[[#This Row],[Performance_Status]]="Target Achieved",1,1.2))</f>
        <v>1.2</v>
      </c>
      <c r="H92" s="31">
        <f>Table5[[#This Row],[Sales]]*$K$2</f>
        <v>77000</v>
      </c>
    </row>
    <row r="93" spans="1:8" x14ac:dyDescent="0.25">
      <c r="A93" s="2" t="s">
        <v>33</v>
      </c>
      <c r="B93" s="2" t="s">
        <v>39</v>
      </c>
      <c r="C93" s="34">
        <v>760000</v>
      </c>
      <c r="D93" s="34">
        <v>700000</v>
      </c>
      <c r="E93" s="6">
        <f>Table5[[#This Row],[Sales]]/Table5[[#This Row],[Target]]</f>
        <v>1.0857142857142856</v>
      </c>
      <c r="F93" s="6" t="str">
        <f t="shared" si="2"/>
        <v>Above Target</v>
      </c>
      <c r="G93" s="29">
        <f>IF(Table5[[#This Row],[Performance_Status]]="Below Target",0.8,IF(Table5[[#This Row],[Performance_Status]]="Target Achieved",1,1.2))</f>
        <v>1.2</v>
      </c>
      <c r="H93" s="31">
        <f>Table5[[#This Row],[Sales]]*$K$2</f>
        <v>38000</v>
      </c>
    </row>
    <row r="94" spans="1:8" x14ac:dyDescent="0.25">
      <c r="A94" s="2" t="s">
        <v>32</v>
      </c>
      <c r="B94" s="2" t="s">
        <v>44</v>
      </c>
      <c r="C94" s="34">
        <v>1510000</v>
      </c>
      <c r="D94" s="34">
        <v>1400000</v>
      </c>
      <c r="E94" s="6">
        <f>Table5[[#This Row],[Sales]]/Table5[[#This Row],[Target]]</f>
        <v>1.0785714285714285</v>
      </c>
      <c r="F94" s="6" t="str">
        <f t="shared" si="2"/>
        <v>Above Target</v>
      </c>
      <c r="G94" s="29">
        <f>IF(Table5[[#This Row],[Performance_Status]]="Below Target",0.8,IF(Table5[[#This Row],[Performance_Status]]="Target Achieved",1,1.2))</f>
        <v>1.2</v>
      </c>
      <c r="H94" s="31">
        <f>Table5[[#This Row],[Sales]]*$K$2</f>
        <v>75500</v>
      </c>
    </row>
    <row r="95" spans="1:8" x14ac:dyDescent="0.25">
      <c r="A95" s="2" t="s">
        <v>42</v>
      </c>
      <c r="B95" s="2" t="s">
        <v>18</v>
      </c>
      <c r="C95" s="34">
        <v>580000</v>
      </c>
      <c r="D95" s="34">
        <v>900000</v>
      </c>
      <c r="E95" s="6">
        <f>Table5[[#This Row],[Sales]]/Table5[[#This Row],[Target]]</f>
        <v>0.64444444444444449</v>
      </c>
      <c r="F95" s="6" t="str">
        <f t="shared" si="2"/>
        <v>Below Target</v>
      </c>
      <c r="G95" s="29">
        <f>IF(Table5[[#This Row],[Performance_Status]]="Below Target",0.8,IF(Table5[[#This Row],[Performance_Status]]="Target Achieved",1,1.2))</f>
        <v>0.8</v>
      </c>
      <c r="H95" s="31">
        <f>Table5[[#This Row],[Sales]]*$K$2</f>
        <v>29000</v>
      </c>
    </row>
    <row r="96" spans="1:8" x14ac:dyDescent="0.25">
      <c r="A96" s="2" t="s">
        <v>30</v>
      </c>
      <c r="B96" s="2" t="s">
        <v>9</v>
      </c>
      <c r="C96" s="34">
        <v>610000</v>
      </c>
      <c r="D96" s="34">
        <v>800000</v>
      </c>
      <c r="E96" s="6">
        <f>Table5[[#This Row],[Sales]]/Table5[[#This Row],[Target]]</f>
        <v>0.76249999999999996</v>
      </c>
      <c r="F96" s="6" t="str">
        <f t="shared" si="2"/>
        <v>Below Target</v>
      </c>
      <c r="G96" s="29">
        <f>IF(Table5[[#This Row],[Performance_Status]]="Below Target",0.8,IF(Table5[[#This Row],[Performance_Status]]="Target Achieved",1,1.2))</f>
        <v>0.8</v>
      </c>
      <c r="H96" s="31">
        <f>Table5[[#This Row],[Sales]]*$K$2</f>
        <v>30500</v>
      </c>
    </row>
    <row r="97" spans="1:8" x14ac:dyDescent="0.25">
      <c r="A97" s="2" t="s">
        <v>37</v>
      </c>
      <c r="B97" s="2" t="s">
        <v>46</v>
      </c>
      <c r="C97" s="34">
        <v>1030000</v>
      </c>
      <c r="D97" s="34">
        <v>1250000</v>
      </c>
      <c r="E97" s="6">
        <f>Table5[[#This Row],[Sales]]/Table5[[#This Row],[Target]]</f>
        <v>0.82399999999999995</v>
      </c>
      <c r="F97" s="6" t="str">
        <f t="shared" si="2"/>
        <v>Below Target</v>
      </c>
      <c r="G97" s="29">
        <f>IF(Table5[[#This Row],[Performance_Status]]="Below Target",0.8,IF(Table5[[#This Row],[Performance_Status]]="Target Achieved",1,1.2))</f>
        <v>0.8</v>
      </c>
      <c r="H97" s="31">
        <f>Table5[[#This Row],[Sales]]*$K$2</f>
        <v>51500</v>
      </c>
    </row>
    <row r="98" spans="1:8" x14ac:dyDescent="0.25">
      <c r="A98" s="2" t="s">
        <v>8</v>
      </c>
      <c r="B98" s="2" t="s">
        <v>14</v>
      </c>
      <c r="C98" s="34">
        <v>1030000</v>
      </c>
      <c r="D98" s="34">
        <v>1100000</v>
      </c>
      <c r="E98" s="6">
        <f>Table5[[#This Row],[Sales]]/Table5[[#This Row],[Target]]</f>
        <v>0.9363636363636364</v>
      </c>
      <c r="F98" s="6" t="str">
        <f t="shared" ref="F98:F129" si="3">IF(E98&lt;100%,"Below Target",IF(E98=100%,"Target Achieved","Above Target"))</f>
        <v>Below Target</v>
      </c>
      <c r="G98" s="29">
        <f>IF(Table5[[#This Row],[Performance_Status]]="Below Target",0.8,IF(Table5[[#This Row],[Performance_Status]]="Target Achieved",1,1.2))</f>
        <v>0.8</v>
      </c>
      <c r="H98" s="31">
        <f>Table5[[#This Row],[Sales]]*$K$2</f>
        <v>51500</v>
      </c>
    </row>
    <row r="99" spans="1:8" x14ac:dyDescent="0.25">
      <c r="A99" s="2" t="s">
        <v>42</v>
      </c>
      <c r="B99" s="2" t="s">
        <v>27</v>
      </c>
      <c r="C99" s="34">
        <v>790000</v>
      </c>
      <c r="D99" s="34">
        <v>750000</v>
      </c>
      <c r="E99" s="6">
        <f>Table5[[#This Row],[Sales]]/Table5[[#This Row],[Target]]</f>
        <v>1.0533333333333332</v>
      </c>
      <c r="F99" s="6" t="str">
        <f t="shared" si="3"/>
        <v>Above Target</v>
      </c>
      <c r="G99" s="29">
        <f>IF(Table5[[#This Row],[Performance_Status]]="Below Target",0.8,IF(Table5[[#This Row],[Performance_Status]]="Target Achieved",1,1.2))</f>
        <v>1.2</v>
      </c>
      <c r="H99" s="31">
        <f>Table5[[#This Row],[Sales]]*$K$2</f>
        <v>39500</v>
      </c>
    </row>
    <row r="100" spans="1:8" x14ac:dyDescent="0.25">
      <c r="A100" s="2" t="s">
        <v>25</v>
      </c>
      <c r="B100" s="2" t="s">
        <v>14</v>
      </c>
      <c r="C100" s="34">
        <v>390000</v>
      </c>
      <c r="D100" s="34">
        <v>700000</v>
      </c>
      <c r="E100" s="6">
        <f>Table5[[#This Row],[Sales]]/Table5[[#This Row],[Target]]</f>
        <v>0.55714285714285716</v>
      </c>
      <c r="F100" s="6" t="str">
        <f t="shared" si="3"/>
        <v>Below Target</v>
      </c>
      <c r="G100" s="29">
        <f>IF(Table5[[#This Row],[Performance_Status]]="Below Target",0.8,IF(Table5[[#This Row],[Performance_Status]]="Target Achieved",1,1.2))</f>
        <v>0.8</v>
      </c>
      <c r="H100" s="31">
        <f>Table5[[#This Row],[Sales]]*$K$2</f>
        <v>19500</v>
      </c>
    </row>
    <row r="101" spans="1:8" x14ac:dyDescent="0.25">
      <c r="A101" s="2" t="s">
        <v>15</v>
      </c>
      <c r="B101" s="2" t="s">
        <v>18</v>
      </c>
      <c r="C101" s="34">
        <v>1600000</v>
      </c>
      <c r="D101" s="34">
        <v>1200000</v>
      </c>
      <c r="E101" s="6">
        <f>Table5[[#This Row],[Sales]]/Table5[[#This Row],[Target]]</f>
        <v>1.3333333333333333</v>
      </c>
      <c r="F101" s="6" t="str">
        <f t="shared" si="3"/>
        <v>Above Target</v>
      </c>
      <c r="G101" s="29">
        <f>IF(Table5[[#This Row],[Performance_Status]]="Below Target",0.8,IF(Table5[[#This Row],[Performance_Status]]="Target Achieved",1,1.2))</f>
        <v>1.2</v>
      </c>
      <c r="H101" s="31">
        <f>Table5[[#This Row],[Sales]]*$K$2</f>
        <v>80000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Relative_Reference</vt:lpstr>
      <vt:lpstr>Absolute_Refence</vt:lpstr>
      <vt:lpstr>Mixed_Refence</vt:lpstr>
      <vt:lpstr>Business_rule</vt:lpstr>
      <vt:lpstr>Final_Analysis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2026-08-09T17:25:13Z</dcterms:created>
  <dcterms:modified xsi:type="dcterms:W3CDTF">2026-08-10T07:37:24Z</dcterms:modified>
  <dc:language>en-US</dc:language>
</cp:coreProperties>
</file>